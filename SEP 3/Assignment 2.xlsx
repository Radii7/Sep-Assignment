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SEP 3\"/>
    </mc:Choice>
  </mc:AlternateContent>
  <xr:revisionPtr revIDLastSave="0" documentId="8_{40A778B1-6D2A-4CE0-8EB3-2C987F283957}"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s>
  <definedNames>
    <definedName name="Slicer_Region">#N/A</definedName>
  </definedNames>
  <calcPr calcId="191028"/>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1" l="1" a="1"/>
  <c r="L11" i="1" s="1"/>
  <c r="L10" i="1"/>
  <c r="L9" i="1"/>
  <c r="L8" i="1"/>
  <c r="L6" i="1"/>
  <c r="L5" i="1"/>
  <c r="L4" i="1"/>
  <c r="L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<sst xmlns="http://schemas.openxmlformats.org/spreadsheetml/2006/main" count="381" uniqueCount="124">
  <si>
    <t>Employee ID</t>
  </si>
  <si>
    <t>Name</t>
  </si>
  <si>
    <t>Department</t>
  </si>
  <si>
    <t>Product</t>
  </si>
  <si>
    <t>Region</t>
  </si>
  <si>
    <t>Units Sold</t>
  </si>
  <si>
    <t>Unit Price</t>
  </si>
  <si>
    <t>Date of Sale</t>
  </si>
  <si>
    <t>Total Sale</t>
  </si>
  <si>
    <t>E1000</t>
  </si>
  <si>
    <t>Grace</t>
  </si>
  <si>
    <t>Finance</t>
  </si>
  <si>
    <t>Phone</t>
  </si>
  <si>
    <t>West</t>
  </si>
  <si>
    <t>E1001</t>
  </si>
  <si>
    <t>Tablet</t>
  </si>
  <si>
    <t>South</t>
  </si>
  <si>
    <t>E1002</t>
  </si>
  <si>
    <t>Frank</t>
  </si>
  <si>
    <t>Sales</t>
  </si>
  <si>
    <t>E1003</t>
  </si>
  <si>
    <t>David</t>
  </si>
  <si>
    <t>North</t>
  </si>
  <si>
    <t>E1004</t>
  </si>
  <si>
    <t>Monitor</t>
  </si>
  <si>
    <t>E1005</t>
  </si>
  <si>
    <t>Alice</t>
  </si>
  <si>
    <t>HR</t>
  </si>
  <si>
    <t>Laptop</t>
  </si>
  <si>
    <t>E1006</t>
  </si>
  <si>
    <t>E1007</t>
  </si>
  <si>
    <t>E1008</t>
  </si>
  <si>
    <t>Jack</t>
  </si>
  <si>
    <t>East</t>
  </si>
  <si>
    <t>E1009</t>
  </si>
  <si>
    <t>Marketing</t>
  </si>
  <si>
    <t>E1010</t>
  </si>
  <si>
    <t>Hannah</t>
  </si>
  <si>
    <t>IT</t>
  </si>
  <si>
    <t>E1011</t>
  </si>
  <si>
    <t>E1012</t>
  </si>
  <si>
    <t>Ivy</t>
  </si>
  <si>
    <t>E1013</t>
  </si>
  <si>
    <t>Eve</t>
  </si>
  <si>
    <t>Row Labels</t>
  </si>
  <si>
    <t>Sum of Total Sale</t>
  </si>
  <si>
    <t>E1014</t>
  </si>
  <si>
    <t>E1015</t>
  </si>
  <si>
    <t>E1016</t>
  </si>
  <si>
    <t>E1017</t>
  </si>
  <si>
    <t>E1018</t>
  </si>
  <si>
    <t>E1019</t>
  </si>
  <si>
    <t>Grand Total</t>
  </si>
  <si>
    <t>E1020</t>
  </si>
  <si>
    <t>Bob</t>
  </si>
  <si>
    <t>E1021</t>
  </si>
  <si>
    <t>Average of Unit Price</t>
  </si>
  <si>
    <t>E1022</t>
  </si>
  <si>
    <t>E1023</t>
  </si>
  <si>
    <t>E1024</t>
  </si>
  <si>
    <t>E1025</t>
  </si>
  <si>
    <t>Charlie</t>
  </si>
  <si>
    <t>E1026</t>
  </si>
  <si>
    <t>E1027</t>
  </si>
  <si>
    <t>E1028</t>
  </si>
  <si>
    <t>Sum of Units Sold</t>
  </si>
  <si>
    <t>E1029</t>
  </si>
  <si>
    <t>Keyboard</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</si>
  <si>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</si>
  <si>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</si>
  <si>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</si>
  <si>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</si>
  <si>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</si>
  <si>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</si>
  <si>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</si>
  <si>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</si>
  <si>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</si>
  <si>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</si>
  <si>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</si>
  <si>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</si>
  <si>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</si>
  <si>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</si>
  <si>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</si>
  <si>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</si>
  <si>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</si>
  <si>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</si>
  <si>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</si>
  <si>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</si>
  <si>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Column Labels</t>
  </si>
  <si>
    <t>Jan</t>
  </si>
  <si>
    <t>Feb</t>
  </si>
  <si>
    <t>Mar</t>
  </si>
  <si>
    <t>Apr</t>
  </si>
  <si>
    <t>May</t>
  </si>
  <si>
    <t>Jun</t>
  </si>
  <si>
    <t>Jul</t>
  </si>
  <si>
    <t>Aug</t>
  </si>
  <si>
    <t>Sep</t>
  </si>
  <si>
    <t>Oct</t>
  </si>
  <si>
    <t>Nov</t>
  </si>
  <si>
    <t>Dec</t>
  </si>
  <si>
    <t>Max of Unit Price</t>
  </si>
  <si>
    <t>Lookup Function Questions</t>
  </si>
  <si>
    <t>1. VLOOKUP Dept by Emp ID</t>
  </si>
  <si>
    <t>2. HLOOKUP Product Header</t>
  </si>
  <si>
    <t>3. XLOOKUP Region by Product</t>
  </si>
  <si>
    <t>4. VLOOKUP Unit Price</t>
  </si>
  <si>
    <t>5. INDEX+MATCH Unit Price</t>
  </si>
  <si>
    <t>6. XLOOKUP Total Sale by Emp</t>
  </si>
  <si>
    <t>7. XLOOKUP Units Sold by Product</t>
  </si>
  <si>
    <t>8. LOOKUP Last Name</t>
  </si>
  <si>
    <t>9. FILTER Units &gt; 90</t>
  </si>
  <si>
    <t>10. CHOOSE Example</t>
  </si>
  <si>
    <t>Pivot Table Questions</t>
  </si>
  <si>
    <t>1. Total Sales by Department</t>
  </si>
  <si>
    <t>2. Average Unit Price by Region</t>
  </si>
  <si>
    <t>3. Units Sold by Product (Chart)</t>
  </si>
  <si>
    <t>4. Sales Count by Region</t>
  </si>
  <si>
    <t>5. Sales by Employee</t>
  </si>
  <si>
    <t>6. Monthly Sales Grouped by Date</t>
  </si>
  <si>
    <t>7. Chart for Department Sales Over Time</t>
  </si>
  <si>
    <t>8. Slicer for Region</t>
  </si>
  <si>
    <t>9. Avg &amp; Max Unit Price per Product</t>
  </si>
  <si>
    <t>10. Region-wise Product Sales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</si>
</sst>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0"/>
      <color rgb="FF000000"/>
      <name val="Arial"/>
      <scheme val="minor"/>
    </font>
    <font>
      <b/>
      <sz val="11"/>
      <color theme="1"/>
      <name val="Calibri"/>
    </font>
    <font>
      <sz val="11"/>
      <color rgb="FF000000"/>
      <name val="Calibri"/>
    </font>
    <font>
      <b/>
      <sz val="11"/>
      <color rgb="FF000000"/>
      <name val="Calibri"/>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1" xfId="0" applyFont="1" applyBorder="1" applyAlignment="1">
      <alignment horizontal="center" vertical="top"/>
    </xf>
    <xf numFmtId="0" fontId="2" fillId="0" borderId="0" xfId="0" applyFont="1" applyAlignment="1">
      <alignment horizontal="right"/>
    </xf>
    <xf numFmtId="164" fontId="2" fillId="0" borderId="0" xfId="0" applyNumberFormat="1" applyFont="1" applyAlignment="1">
      <alignment horizontal="right"/>
    </xf>
    <xf numFmtId="0" fontId="3" fillId="0" borderId="0" xfId="0" applyFont="1" applyAlignment="1">
      <alignment horizontal="center" vertical="top"/>
    </xf>
    <xf numFmtId="0" fontId="4" fillId="0" borderId="0" xfId="0" applyFont="1" applyAlignment="1">
      <alignment horizontal="right"/>
    </xf>
    <xf numFmtId="0" fontId="0" fillId="0" borderId="0" xfId="0" pivotButton="1"/>
    <xf numFmtId="0" fontId="0" fillId="0" borderId="0" xfId="0" applyAlignment="1">
      <alignment horizontal="left"/>
    </xf>
    <xf numFmtId="16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5"/>
              <c:pt idx="0">
                <c:v>Keyboard</c:v>
              </c:pt>
              <c:pt idx="1">
                <c:v>Laptop</c:v>
              </c:pt>
              <c:pt idx="2">
                <c:v>Monitor</c:v>
              </c:pt>
              <c:pt idx="3">
                <c:v>Phone</c:v>
              </c:pt>
              <c:pt idx="4">
                <c:v>Tablet</c:v>
              </c:pt>
            </c:strLit>
          </c:cat>
          <c:val>
            <c:numLit>
              <c:formatCode>General</c:formatCode>
              <c:ptCount val="5"/>
              <c:pt idx="0">
                <c:v>366</c:v>
              </c:pt>
              <c:pt idx="1">
                <c:v>189</c:v>
              </c:pt>
              <c:pt idx="2">
                <c:v>603</c:v>
              </c:pt>
              <c:pt idx="3">
                <c:v>544</c:v>
              </c:pt>
              <c:pt idx="4">
                <c:v>908</c:v>
              </c:pt>
            </c:numLit>
          </c:val>
          <c:extLst>
            <c:ext xmlns:c16="http://schemas.microsoft.com/office/drawing/2014/chart" uri="{C3380CC4-5D6E-409C-BE32-E72D297353CC}">
              <c16:uniqueId val="{00000000-C75C-46D3-82AE-993ACC81B1B0}"/>
            </c:ext>
          </c:extLst>
        </c:ser>
        <c:dLbls>
          <c:showLegendKey val="0"/>
          <c:showVal val="0"/>
          <c:showCatName val="0"/>
          <c:showSerName val="0"/>
          <c:showPercent val="0"/>
          <c:showBubbleSize val="0"/>
        </c:dLbls>
        <c:gapWidth val="150"/>
        <c:shape val="box"/>
        <c:axId val="1447027024"/>
        <c:axId val="1454106768"/>
        <c:axId val="0"/>
      </c:bar3DChart>
      <c:catAx>
        <c:axId val="144702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106768"/>
        <c:crosses val="autoZero"/>
        <c:auto val="1"/>
        <c:lblAlgn val="ctr"/>
        <c:lblOffset val="100"/>
        <c:noMultiLvlLbl val="0"/>
      </c:catAx>
      <c:valAx>
        <c:axId val="145410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Finance</c:v>
          </c:tx>
          <c:spPr>
            <a:solidFill>
              <a:schemeClr val="accent1"/>
            </a:solidFill>
            <a:ln>
              <a:noFill/>
            </a:ln>
            <a:effectLst/>
            <a:sp3d/>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84</c:v>
              </c:pt>
              <c:pt idx="1">
                <c:v>36</c:v>
              </c:pt>
              <c:pt idx="2">
                <c:v>0</c:v>
              </c:pt>
              <c:pt idx="3">
                <c:v>121</c:v>
              </c:pt>
              <c:pt idx="4">
                <c:v>64</c:v>
              </c:pt>
              <c:pt idx="5">
                <c:v>43</c:v>
              </c:pt>
              <c:pt idx="6">
                <c:v>77</c:v>
              </c:pt>
              <c:pt idx="7">
                <c:v>33</c:v>
              </c:pt>
              <c:pt idx="8">
                <c:v>0</c:v>
              </c:pt>
              <c:pt idx="9">
                <c:v>99</c:v>
              </c:pt>
              <c:pt idx="10">
                <c:v>97</c:v>
              </c:pt>
              <c:pt idx="11">
                <c:v>83</c:v>
              </c:pt>
            </c:numLit>
          </c:val>
          <c:extLst>
            <c:ext xmlns:c16="http://schemas.microsoft.com/office/drawing/2014/chart" uri="{C3380CC4-5D6E-409C-BE32-E72D297353CC}">
              <c16:uniqueId val="{00000000-EBD4-43F2-9B4A-7219850A9EC1}"/>
            </c:ext>
          </c:extLst>
        </c:ser>
        <c:ser>
          <c:idx val="1"/>
          <c:order val="1"/>
          <c:tx>
            <c:v>HR</c:v>
          </c:tx>
          <c:spPr>
            <a:solidFill>
              <a:schemeClr val="accent2"/>
            </a:solidFill>
            <a:ln>
              <a:noFill/>
            </a:ln>
            <a:effectLst/>
            <a:sp3d/>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0</c:v>
              </c:pt>
              <c:pt idx="1">
                <c:v>153</c:v>
              </c:pt>
              <c:pt idx="2">
                <c:v>11</c:v>
              </c:pt>
              <c:pt idx="3">
                <c:v>76</c:v>
              </c:pt>
              <c:pt idx="4">
                <c:v>0</c:v>
              </c:pt>
              <c:pt idx="5">
                <c:v>84</c:v>
              </c:pt>
              <c:pt idx="6">
                <c:v>100</c:v>
              </c:pt>
              <c:pt idx="7">
                <c:v>14</c:v>
              </c:pt>
              <c:pt idx="8">
                <c:v>128</c:v>
              </c:pt>
              <c:pt idx="9">
                <c:v>24</c:v>
              </c:pt>
              <c:pt idx="10">
                <c:v>94</c:v>
              </c:pt>
              <c:pt idx="11">
                <c:v>64</c:v>
              </c:pt>
            </c:numLit>
          </c:val>
          <c:extLst>
            <c:ext xmlns:c16="http://schemas.microsoft.com/office/drawing/2014/chart" uri="{C3380CC4-5D6E-409C-BE32-E72D297353CC}">
              <c16:uniqueId val="{00000001-EBD4-43F2-9B4A-7219850A9EC1}"/>
            </c:ext>
          </c:extLst>
        </c:ser>
        <c:ser>
          <c:idx val="2"/>
          <c:order val="2"/>
          <c:tx>
            <c:v>IT</c:v>
          </c:tx>
          <c:spPr>
            <a:solidFill>
              <a:schemeClr val="accent3"/>
            </a:solidFill>
            <a:ln>
              <a:noFill/>
            </a:ln>
            <a:effectLst/>
            <a:sp3d/>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0</c:v>
              </c:pt>
              <c:pt idx="1">
                <c:v>0</c:v>
              </c:pt>
              <c:pt idx="2">
                <c:v>44</c:v>
              </c:pt>
              <c:pt idx="3">
                <c:v>62</c:v>
              </c:pt>
              <c:pt idx="4">
                <c:v>114</c:v>
              </c:pt>
              <c:pt idx="5">
                <c:v>18</c:v>
              </c:pt>
              <c:pt idx="6">
                <c:v>0</c:v>
              </c:pt>
              <c:pt idx="7">
                <c:v>59</c:v>
              </c:pt>
              <c:pt idx="8">
                <c:v>37</c:v>
              </c:pt>
              <c:pt idx="9">
                <c:v>0</c:v>
              </c:pt>
              <c:pt idx="10">
                <c:v>63</c:v>
              </c:pt>
              <c:pt idx="11">
                <c:v>0</c:v>
              </c:pt>
            </c:numLit>
          </c:val>
          <c:extLst>
            <c:ext xmlns:c16="http://schemas.microsoft.com/office/drawing/2014/chart" uri="{C3380CC4-5D6E-409C-BE32-E72D297353CC}">
              <c16:uniqueId val="{00000002-EBD4-43F2-9B4A-7219850A9EC1}"/>
            </c:ext>
          </c:extLst>
        </c:ser>
        <c:ser>
          <c:idx val="3"/>
          <c:order val="3"/>
          <c:tx>
            <c:v>Marketing</c:v>
          </c:tx>
          <c:spPr>
            <a:solidFill>
              <a:schemeClr val="accent4"/>
            </a:solidFill>
            <a:ln>
              <a:noFill/>
            </a:ln>
            <a:effectLst/>
            <a:sp3d/>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0</c:v>
              </c:pt>
              <c:pt idx="1">
                <c:v>0</c:v>
              </c:pt>
              <c:pt idx="2">
                <c:v>95</c:v>
              </c:pt>
              <c:pt idx="3">
                <c:v>60</c:v>
              </c:pt>
              <c:pt idx="4">
                <c:v>0</c:v>
              </c:pt>
              <c:pt idx="5">
                <c:v>0</c:v>
              </c:pt>
              <c:pt idx="6">
                <c:v>0</c:v>
              </c:pt>
              <c:pt idx="7">
                <c:v>0</c:v>
              </c:pt>
              <c:pt idx="8">
                <c:v>80</c:v>
              </c:pt>
              <c:pt idx="9">
                <c:v>164</c:v>
              </c:pt>
              <c:pt idx="10">
                <c:v>82</c:v>
              </c:pt>
              <c:pt idx="11">
                <c:v>0</c:v>
              </c:pt>
            </c:numLit>
          </c:val>
          <c:extLst>
            <c:ext xmlns:c16="http://schemas.microsoft.com/office/drawing/2014/chart" uri="{C3380CC4-5D6E-409C-BE32-E72D297353CC}">
              <c16:uniqueId val="{00000003-EBD4-43F2-9B4A-7219850A9EC1}"/>
            </c:ext>
          </c:extLst>
        </c:ser>
        <c:ser>
          <c:idx val="4"/>
          <c:order val="4"/>
          <c:tx>
            <c:v>Sales</c:v>
          </c:tx>
          <c:spPr>
            <a:solidFill>
              <a:schemeClr val="accent5"/>
            </a:solidFill>
            <a:ln>
              <a:noFill/>
            </a:ln>
            <a:effectLst/>
            <a:sp3d/>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98</c:v>
              </c:pt>
              <c:pt idx="1">
                <c:v>0</c:v>
              </c:pt>
              <c:pt idx="2">
                <c:v>0</c:v>
              </c:pt>
              <c:pt idx="3">
                <c:v>0</c:v>
              </c:pt>
              <c:pt idx="4">
                <c:v>0</c:v>
              </c:pt>
              <c:pt idx="5">
                <c:v>2</c:v>
              </c:pt>
              <c:pt idx="6">
                <c:v>87</c:v>
              </c:pt>
              <c:pt idx="7">
                <c:v>46</c:v>
              </c:pt>
              <c:pt idx="8">
                <c:v>0</c:v>
              </c:pt>
              <c:pt idx="9">
                <c:v>14</c:v>
              </c:pt>
              <c:pt idx="10">
                <c:v>0</c:v>
              </c:pt>
              <c:pt idx="11">
                <c:v>0</c:v>
              </c:pt>
            </c:numLit>
          </c:val>
          <c:extLst>
            <c:ext xmlns:c16="http://schemas.microsoft.com/office/drawing/2014/chart" uri="{C3380CC4-5D6E-409C-BE32-E72D297353CC}">
              <c16:uniqueId val="{00000004-EBD4-43F2-9B4A-7219850A9EC1}"/>
            </c:ext>
          </c:extLst>
        </c:ser>
        <c:dLbls>
          <c:showLegendKey val="0"/>
          <c:showVal val="0"/>
          <c:showCatName val="0"/>
          <c:showSerName val="0"/>
          <c:showPercent val="0"/>
          <c:showBubbleSize val="0"/>
        </c:dLbls>
        <c:gapWidth val="150"/>
        <c:shape val="box"/>
        <c:axId val="1881080288"/>
        <c:axId val="1164036208"/>
        <c:axId val="0"/>
      </c:bar3DChart>
      <c:catAx>
        <c:axId val="188108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36208"/>
        <c:crosses val="autoZero"/>
        <c:auto val="1"/>
        <c:lblAlgn val="ctr"/>
        <c:lblOffset val="100"/>
        <c:noMultiLvlLbl val="0"/>
      </c:catAx>
      <c:valAx>
        <c:axId val="116403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8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5"/>
              <c:pt idx="0">
                <c:v>1</c:v>
              </c:pt>
              <c:pt idx="1">
                <c:v>2</c:v>
              </c:pt>
              <c:pt idx="2">
                <c:v>3</c:v>
              </c:pt>
              <c:pt idx="3">
                <c:v>4</c:v>
              </c:pt>
              <c:pt idx="4">
                <c:v>5</c:v>
              </c:pt>
            </c:numLit>
          </c:cat>
          <c:val>
            <c:numLit>
              <c:formatCode>General</c:formatCode>
              <c:ptCount val="5"/>
              <c:pt idx="0">
                <c:v>263250</c:v>
              </c:pt>
              <c:pt idx="1">
                <c:v>363538</c:v>
              </c:pt>
              <c:pt idx="2">
                <c:v>842352</c:v>
              </c:pt>
              <c:pt idx="3">
                <c:v>372876</c:v>
              </c:pt>
              <c:pt idx="4">
                <c:v>1186413</c:v>
              </c:pt>
            </c:numLit>
          </c:val>
          <c:extLst>
            <c:ext xmlns:c16="http://schemas.microsoft.com/office/drawing/2014/chart" uri="{C3380CC4-5D6E-409C-BE32-E72D297353CC}">
              <c16:uniqueId val="{00000000-A283-4D8A-A598-3D8DA9C85059}"/>
            </c:ext>
          </c:extLst>
        </c:ser>
        <c:ser>
          <c:idx val="1"/>
          <c:order val="1"/>
          <c:tx>
            <c:v>Series2</c:v>
          </c:tx>
          <c:spPr>
            <a:solidFill>
              <a:schemeClr val="accent2"/>
            </a:solidFill>
            <a:ln>
              <a:noFill/>
            </a:ln>
            <a:effectLst/>
          </c:spPr>
          <c:invertIfNegative val="0"/>
          <c:cat>
            <c:numLit>
              <c:formatCode>General</c:formatCode>
              <c:ptCount val="5"/>
              <c:pt idx="0">
                <c:v>1</c:v>
              </c:pt>
              <c:pt idx="1">
                <c:v>2</c:v>
              </c:pt>
              <c:pt idx="2">
                <c:v>3</c:v>
              </c:pt>
              <c:pt idx="3">
                <c:v>4</c:v>
              </c:pt>
              <c:pt idx="4">
                <c:v>5</c:v>
              </c:pt>
            </c:numLit>
          </c:cat>
          <c:val>
            <c:numLit>
              <c:formatCode>General</c:formatCode>
              <c:ptCount val="5"/>
              <c:pt idx="0">
                <c:v>765558</c:v>
              </c:pt>
              <c:pt idx="1">
                <c:v>118679</c:v>
              </c:pt>
              <c:pt idx="2">
                <c:v>479709</c:v>
              </c:pt>
              <c:pt idx="3">
                <c:v>169390</c:v>
              </c:pt>
              <c:pt idx="4">
                <c:v>525909</c:v>
              </c:pt>
            </c:numLit>
          </c:val>
          <c:extLst>
            <c:ext xmlns:c16="http://schemas.microsoft.com/office/drawing/2014/chart" uri="{C3380CC4-5D6E-409C-BE32-E72D297353CC}">
              <c16:uniqueId val="{00000001-A283-4D8A-A598-3D8DA9C85059}"/>
            </c:ext>
          </c:extLst>
        </c:ser>
        <c:ser>
          <c:idx val="2"/>
          <c:order val="2"/>
          <c:tx>
            <c:v>Series3</c:v>
          </c:tx>
          <c:spPr>
            <a:solidFill>
              <a:schemeClr val="accent3"/>
            </a:solidFill>
            <a:ln>
              <a:noFill/>
            </a:ln>
            <a:effectLst/>
          </c:spPr>
          <c:invertIfNegative val="0"/>
          <c:cat>
            <c:numLit>
              <c:formatCode>General</c:formatCode>
              <c:ptCount val="5"/>
              <c:pt idx="0">
                <c:v>1</c:v>
              </c:pt>
              <c:pt idx="1">
                <c:v>2</c:v>
              </c:pt>
              <c:pt idx="2">
                <c:v>3</c:v>
              </c:pt>
              <c:pt idx="3">
                <c:v>4</c:v>
              </c:pt>
              <c:pt idx="4">
                <c:v>5</c:v>
              </c:pt>
            </c:numLit>
          </c:cat>
          <c:val>
            <c:numLit>
              <c:formatCode>General</c:formatCode>
              <c:ptCount val="5"/>
              <c:pt idx="0">
                <c:v>577461</c:v>
              </c:pt>
              <c:pt idx="1">
                <c:v>123508</c:v>
              </c:pt>
              <c:pt idx="2">
                <c:v>259906</c:v>
              </c:pt>
              <c:pt idx="3">
                <c:v>211378</c:v>
              </c:pt>
              <c:pt idx="4">
                <c:v>21000</c:v>
              </c:pt>
            </c:numLit>
          </c:val>
          <c:extLst>
            <c:ext xmlns:c16="http://schemas.microsoft.com/office/drawing/2014/chart" uri="{C3380CC4-5D6E-409C-BE32-E72D297353CC}">
              <c16:uniqueId val="{00000002-A283-4D8A-A598-3D8DA9C85059}"/>
            </c:ext>
          </c:extLst>
        </c:ser>
        <c:ser>
          <c:idx val="3"/>
          <c:order val="3"/>
          <c:tx>
            <c:v>Series4</c:v>
          </c:tx>
          <c:spPr>
            <a:solidFill>
              <a:schemeClr val="accent4"/>
            </a:solidFill>
            <a:ln>
              <a:noFill/>
            </a:ln>
            <a:effectLst/>
          </c:spPr>
          <c:invertIfNegative val="0"/>
          <c:cat>
            <c:numLit>
              <c:formatCode>General</c:formatCode>
              <c:ptCount val="5"/>
              <c:pt idx="0">
                <c:v>1</c:v>
              </c:pt>
              <c:pt idx="1">
                <c:v>2</c:v>
              </c:pt>
              <c:pt idx="2">
                <c:v>3</c:v>
              </c:pt>
              <c:pt idx="3">
                <c:v>4</c:v>
              </c:pt>
              <c:pt idx="4">
                <c:v>5</c:v>
              </c:pt>
            </c:numLit>
          </c:cat>
          <c:val>
            <c:numLit>
              <c:formatCode>General</c:formatCode>
              <c:ptCount val="5"/>
              <c:pt idx="0">
                <c:v>0</c:v>
              </c:pt>
              <c:pt idx="1">
                <c:v>0</c:v>
              </c:pt>
              <c:pt idx="2">
                <c:v>38332</c:v>
              </c:pt>
              <c:pt idx="3">
                <c:v>805268</c:v>
              </c:pt>
              <c:pt idx="4">
                <c:v>865156</c:v>
              </c:pt>
            </c:numLit>
          </c:val>
          <c:extLst>
            <c:ext xmlns:c16="http://schemas.microsoft.com/office/drawing/2014/chart" uri="{C3380CC4-5D6E-409C-BE32-E72D297353CC}">
              <c16:uniqueId val="{00000003-A283-4D8A-A598-3D8DA9C85059}"/>
            </c:ext>
          </c:extLst>
        </c:ser>
        <c:dLbls>
          <c:showLegendKey val="0"/>
          <c:showVal val="0"/>
          <c:showCatName val="0"/>
          <c:showSerName val="0"/>
          <c:showPercent val="0"/>
          <c:showBubbleSize val="0"/>
        </c:dLbls>
        <c:gapWidth val="219"/>
        <c:overlap val="-27"/>
        <c:axId val="1933437088"/>
        <c:axId val="1454108688"/>
      </c:barChart>
      <c:catAx>
        <c:axId val="193343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108688"/>
        <c:crosses val="autoZero"/>
        <c:auto val="1"/>
        <c:lblAlgn val="ctr"/>
        <c:lblOffset val="100"/>
        <c:noMultiLvlLbl val="0"/>
      </c:catAx>
      <c:valAx>
        <c:axId val="145410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43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393550</xdr:colOff>
      <xdr:row>58</xdr:row>
      <xdr:rowOff>26101</xdr:rowOff>
    </xdr:from>
    <xdr:to>
      <xdr:col>9</xdr:col>
      <xdr:colOff>367949</xdr:colOff>
      <xdr:row>70</xdr:row>
      <xdr:rowOff>4215</xdr:rowOff>
    </xdr:to>
    <xdr:graphicFrame macro="">
      <xdr:nvGraphicFramePr>
        <xdr:cNvPr id="2" name="Chart 1">
          <a:extLst>
            <a:ext uri="{FF2B5EF4-FFF2-40B4-BE49-F238E27FC236}">
              <a16:creationId xmlns:a16="http://schemas.microsoft.com/office/drawing/2014/main" id="{7D1EECEF-2B4D-A9A2-40B6-0DD2F83F6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841375</xdr:colOff>
      <xdr:row>68</xdr:row>
      <xdr:rowOff>41275</xdr:rowOff>
    </xdr:from>
    <xdr:to>
      <xdr:col>16</xdr:col>
      <xdr:colOff>142875</xdr:colOff>
      <xdr:row>82</xdr:row>
      <xdr:rowOff>117475</xdr:rowOff>
    </xdr:to>
    <xdr:graphicFrame macro="">
      <xdr:nvGraphicFramePr>
        <xdr:cNvPr id="11" name="Chart 10">
          <a:extLst>
            <a:ext uri="{FF2B5EF4-FFF2-40B4-BE49-F238E27FC236}">
              <a16:creationId xmlns:a16="http://schemas.microsoft.com/office/drawing/2014/main" id="{C157B61C-0A85-49BB-985F-1EE8A3E42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9005</xdr:colOff>
      <xdr:row>101</xdr:row>
      <xdr:rowOff>12469</xdr:rowOff>
    </xdr:from>
    <xdr:ext cx="1828800" cy="1419167"/>
    <mc:AlternateContent xmlns:mc="http://schemas.openxmlformats.org/markup-compatibility/2006">
      <mc:Choice xmlns:a14="http://schemas.microsoft.com/office/drawing/2010/main" Requires="a14">
        <xdr:graphicFrame macro="">
          <xdr:nvGraphicFramePr>
            <xdr:cNvPr id="12" name="Region 2">
              <a:extLst>
                <a:ext uri="{FF2B5EF4-FFF2-40B4-BE49-F238E27FC236}">
                  <a16:creationId xmlns:a16="http://schemas.microsoft.com/office/drawing/2014/main" id="{049D14D8-6A97-458E-87B3-7D063C2618A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649460" y="19535833"/>
              <a:ext cx="1828800" cy="141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40409</xdr:colOff>
      <xdr:row>117</xdr:row>
      <xdr:rowOff>192809</xdr:rowOff>
    </xdr:from>
    <xdr:to>
      <xdr:col>14</xdr:col>
      <xdr:colOff>502228</xdr:colOff>
      <xdr:row>131</xdr:row>
      <xdr:rowOff>188191</xdr:rowOff>
    </xdr:to>
    <xdr:graphicFrame macro="">
      <xdr:nvGraphicFramePr>
        <xdr:cNvPr id="13" name="Chart 12">
          <a:extLst>
            <a:ext uri="{FF2B5EF4-FFF2-40B4-BE49-F238E27FC236}">
              <a16:creationId xmlns:a16="http://schemas.microsoft.com/office/drawing/2014/main" id="{FA4CBFE0-7228-4CD9-A55E-E6FB1C553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rin Navas" refreshedDate="46245.434904745372" createdVersion="8" refreshedVersion="8" minRefreshableVersion="3" recordCount="50" xr:uid="{E8D6826A-1D1B-4CD9-B83C-B0EBD158CD45}">
  <cacheSource type="worksheet">
    <worksheetSource ref="A1:I51" sheet="Sheet1"/>
  </cacheSource>
  <cacheFields count="11">
    <cacheField name="Employee ID" numFmtId="0">
      <sharedItems count="50">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haredItems>
    </cacheField>
    <cacheField name="Name" numFmtId="0">
      <sharedItems count="10">
        <s v="Grace"/>
        <s v="Frank"/>
        <s v="David"/>
        <s v="Alice"/>
        <s v="Jack"/>
        <s v="Hannah"/>
        <s v="Ivy"/>
        <s v="Eve"/>
        <s v="Bob"/>
        <s v="Charlie"/>
      </sharedItems>
    </cacheField>
    <cacheField name="Department" numFmtId="0">
      <sharedItems count="5">
        <s v="Finance"/>
        <s v="Sales"/>
        <s v="HR"/>
        <s v="Marketing"/>
        <s v="IT"/>
      </sharedItems>
    </cacheField>
    <cacheField name="Product" numFmtId="0">
      <sharedItems count="5">
        <s v="Phone"/>
        <s v="Tablet"/>
        <s v="Monitor"/>
        <s v="Laptop"/>
        <s v="Keyboard"/>
      </sharedItems>
    </cacheField>
    <cacheField name="Region" numFmtId="0">
      <sharedItems count="4">
        <s v="West"/>
        <s v="South"/>
        <s v="North"/>
        <s v="East"/>
      </sharedItems>
    </cacheField>
    <cacheField name="Units Sold" numFmtId="0">
      <sharedItems containsSemiMixedTypes="0" containsString="0" containsNumber="1" containsInteger="1" minValue="2" maxValue="99"/>
    </cacheField>
    <cacheField name="Unit Price" numFmtId="0">
      <sharedItems containsSemiMixedTypes="0" containsString="0" containsNumber="1" containsInteger="1" minValue="1042" maxValue="4983"/>
    </cacheField>
    <cacheField name="Date of Sale" numFmtId="164">
      <sharedItems containsSemiMixedTypes="0" containsNonDate="0" containsDate="1" containsString="0" minDate="2023-01-01T00:00:00" maxDate="2023-12-11T00:00:00" count="50">
        <d v="2023-01-01T00:00:00"/>
        <d v="2023-01-08T00:00:00"/>
        <d v="2023-01-15T00:00:00"/>
        <d v="2023-01-22T00:00:00"/>
        <d v="2023-01-29T00:00:00"/>
        <d v="2023-02-05T00:00:00"/>
        <d v="2023-02-12T00:00:00"/>
        <d v="2023-02-19T00:00:00"/>
        <d v="2023-02-26T00:00:00"/>
        <d v="2023-03-05T00:00:00"/>
        <d v="2023-03-12T00:00:00"/>
        <d v="2023-03-19T00:00:00"/>
        <d v="2023-03-26T00:00:00"/>
        <d v="2023-04-02T00:00:00"/>
        <d v="2023-04-09T00:00:00"/>
        <d v="2023-04-16T00:00:00"/>
        <d v="2023-04-23T00:00:00"/>
        <d v="2023-04-30T00:00:00"/>
        <d v="2023-05-07T00:00:00"/>
        <d v="2023-05-14T00:00:00"/>
        <d v="2023-05-21T00:00:00"/>
        <d v="2023-05-28T00:00:00"/>
        <d v="2023-06-04T00:00:00"/>
        <d v="2023-06-11T00:00:00"/>
        <d v="2023-06-18T00:00:00"/>
        <d v="2023-06-25T00:00:00"/>
        <d v="2023-07-02T00:00:00"/>
        <d v="2023-07-09T00:00:00"/>
        <d v="2023-07-16T00:00:00"/>
        <d v="2023-07-23T00:00:00"/>
        <d v="2023-07-30T00:00:00"/>
        <d v="2023-08-06T00:00:00"/>
        <d v="2023-08-13T00:00:00"/>
        <d v="2023-08-20T00:00:00"/>
        <d v="2023-08-27T00:00:00"/>
        <d v="2023-09-03T00:00:00"/>
        <d v="2023-09-10T00:00:00"/>
        <d v="2023-09-17T00:00:00"/>
        <d v="2023-09-24T00:00:00"/>
        <d v="2023-10-01T00:00:00"/>
        <d v="2023-10-08T00:00:00"/>
        <d v="2023-10-15T00:00:00"/>
        <d v="2023-10-22T00:00:00"/>
        <d v="2023-10-29T00:00:00"/>
        <d v="2023-11-05T00:00:00"/>
        <d v="2023-11-12T00:00:00"/>
        <d v="2023-11-19T00:00:00"/>
        <d v="2023-11-26T00:00:00"/>
        <d v="2023-12-03T00:00:00"/>
        <d v="2023-12-10T00:00:00"/>
      </sharedItems>
      <fieldGroup par="10"/>
    </cacheField>
    <cacheField name="Total Sale" numFmtId="0">
      <sharedItems containsSemiMixedTypes="0" containsString="0" containsNumber="1" containsInteger="1" minValue="4356" maxValue="483351"/>
    </cacheField>
    <cacheField name="Days (Date of Sale)" numFmtId="0" databaseField="0">
      <fieldGroup base="7">
        <rangePr groupBy="days" startDate="2023-01-01T00:00:00" endDate="2023-12-1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2-2023"/>
        </groupItems>
      </fieldGroup>
    </cacheField>
    <cacheField name="Months (Date of Sale)" numFmtId="0" databaseField="0">
      <fieldGroup base="7">
        <rangePr groupBy="months" startDate="2023-01-01T00:00:00" endDate="2023-12-11T00:00:00"/>
        <groupItems count="14">
          <s v="&lt;01-01-2023"/>
          <s v="Jan"/>
          <s v="Feb"/>
          <s v="Mar"/>
          <s v="Apr"/>
          <s v="May"/>
          <s v="Jun"/>
          <s v="Jul"/>
          <s v="Aug"/>
          <s v="Sep"/>
          <s v="Oct"/>
          <s v="Nov"/>
          <s v="Dec"/>
          <s v="&gt;11-12-2023"/>
        </groupItems>
      </fieldGroup>
    </cacheField>
  </cacheFields>
  <extLst>
    <ext xmlns:x14="http://schemas.microsoft.com/office/spreadsheetml/2009/9/main" uri="{725AE2AE-9491-48be-B2B4-4EB974FC3084}">
      <x14:pivotCacheDefinition pivotCacheId="1551258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n v="52"/>
    <n v="3890"/>
    <x v="0"/>
    <n v="202280"/>
  </r>
  <r>
    <x v="1"/>
    <x v="0"/>
    <x v="0"/>
    <x v="1"/>
    <x v="1"/>
    <n v="20"/>
    <n v="1050"/>
    <x v="1"/>
    <n v="21000"/>
  </r>
  <r>
    <x v="2"/>
    <x v="1"/>
    <x v="1"/>
    <x v="0"/>
    <x v="1"/>
    <n v="74"/>
    <n v="1334"/>
    <x v="2"/>
    <n v="98716"/>
  </r>
  <r>
    <x v="3"/>
    <x v="2"/>
    <x v="0"/>
    <x v="0"/>
    <x v="2"/>
    <n v="12"/>
    <n v="2991"/>
    <x v="3"/>
    <n v="35892"/>
  </r>
  <r>
    <x v="4"/>
    <x v="1"/>
    <x v="1"/>
    <x v="2"/>
    <x v="2"/>
    <n v="24"/>
    <n v="1326"/>
    <x v="4"/>
    <n v="31824"/>
  </r>
  <r>
    <x v="5"/>
    <x v="3"/>
    <x v="2"/>
    <x v="3"/>
    <x v="2"/>
    <n v="26"/>
    <n v="2871"/>
    <x v="5"/>
    <n v="74646"/>
  </r>
  <r>
    <x v="6"/>
    <x v="3"/>
    <x v="2"/>
    <x v="1"/>
    <x v="0"/>
    <n v="39"/>
    <n v="4625"/>
    <x v="6"/>
    <n v="180375"/>
  </r>
  <r>
    <x v="7"/>
    <x v="1"/>
    <x v="0"/>
    <x v="1"/>
    <x v="0"/>
    <n v="36"/>
    <n v="2257"/>
    <x v="7"/>
    <n v="81252"/>
  </r>
  <r>
    <x v="8"/>
    <x v="4"/>
    <x v="2"/>
    <x v="2"/>
    <x v="3"/>
    <n v="88"/>
    <n v="3168"/>
    <x v="8"/>
    <n v="278784"/>
  </r>
  <r>
    <x v="9"/>
    <x v="4"/>
    <x v="3"/>
    <x v="1"/>
    <x v="2"/>
    <n v="95"/>
    <n v="2360"/>
    <x v="9"/>
    <n v="224200"/>
  </r>
  <r>
    <x v="10"/>
    <x v="5"/>
    <x v="4"/>
    <x v="0"/>
    <x v="2"/>
    <n v="16"/>
    <n v="4264"/>
    <x v="10"/>
    <n v="68224"/>
  </r>
  <r>
    <x v="11"/>
    <x v="1"/>
    <x v="2"/>
    <x v="3"/>
    <x v="2"/>
    <n v="11"/>
    <n v="4003"/>
    <x v="11"/>
    <n v="44033"/>
  </r>
  <r>
    <x v="12"/>
    <x v="6"/>
    <x v="4"/>
    <x v="3"/>
    <x v="1"/>
    <n v="28"/>
    <n v="4411"/>
    <x v="12"/>
    <n v="123508"/>
  </r>
  <r>
    <x v="13"/>
    <x v="7"/>
    <x v="2"/>
    <x v="2"/>
    <x v="3"/>
    <n v="76"/>
    <n v="4104"/>
    <x v="13"/>
    <n v="311904"/>
  </r>
  <r>
    <x v="14"/>
    <x v="2"/>
    <x v="0"/>
    <x v="2"/>
    <x v="3"/>
    <n v="74"/>
    <n v="3342"/>
    <x v="14"/>
    <n v="247308"/>
  </r>
  <r>
    <x v="15"/>
    <x v="2"/>
    <x v="0"/>
    <x v="2"/>
    <x v="2"/>
    <n v="47"/>
    <n v="1647"/>
    <x v="15"/>
    <n v="77409"/>
  </r>
  <r>
    <x v="16"/>
    <x v="4"/>
    <x v="3"/>
    <x v="2"/>
    <x v="2"/>
    <n v="60"/>
    <n v="2045"/>
    <x v="16"/>
    <n v="122700"/>
  </r>
  <r>
    <x v="17"/>
    <x v="0"/>
    <x v="4"/>
    <x v="2"/>
    <x v="1"/>
    <n v="62"/>
    <n v="3073"/>
    <x v="17"/>
    <n v="190526"/>
  </r>
  <r>
    <x v="18"/>
    <x v="1"/>
    <x v="4"/>
    <x v="1"/>
    <x v="3"/>
    <n v="57"/>
    <n v="2641"/>
    <x v="18"/>
    <n v="150537"/>
  </r>
  <r>
    <x v="19"/>
    <x v="1"/>
    <x v="4"/>
    <x v="2"/>
    <x v="1"/>
    <n v="32"/>
    <n v="1582"/>
    <x v="19"/>
    <n v="50624"/>
  </r>
  <r>
    <x v="20"/>
    <x v="8"/>
    <x v="0"/>
    <x v="1"/>
    <x v="0"/>
    <n v="64"/>
    <n v="3773"/>
    <x v="20"/>
    <n v="241472"/>
  </r>
  <r>
    <x v="21"/>
    <x v="6"/>
    <x v="4"/>
    <x v="1"/>
    <x v="2"/>
    <n v="25"/>
    <n v="2213"/>
    <x v="21"/>
    <n v="55325"/>
  </r>
  <r>
    <x v="22"/>
    <x v="1"/>
    <x v="0"/>
    <x v="0"/>
    <x v="2"/>
    <n v="43"/>
    <n v="1518"/>
    <x v="22"/>
    <n v="65274"/>
  </r>
  <r>
    <x v="23"/>
    <x v="7"/>
    <x v="4"/>
    <x v="2"/>
    <x v="1"/>
    <n v="18"/>
    <n v="1042"/>
    <x v="23"/>
    <n v="18756"/>
  </r>
  <r>
    <x v="24"/>
    <x v="8"/>
    <x v="1"/>
    <x v="2"/>
    <x v="3"/>
    <n v="2"/>
    <n v="2178"/>
    <x v="24"/>
    <n v="4356"/>
  </r>
  <r>
    <x v="25"/>
    <x v="9"/>
    <x v="2"/>
    <x v="0"/>
    <x v="3"/>
    <n v="84"/>
    <n v="4439"/>
    <x v="25"/>
    <n v="372876"/>
  </r>
  <r>
    <x v="26"/>
    <x v="1"/>
    <x v="0"/>
    <x v="2"/>
    <x v="2"/>
    <n v="12"/>
    <n v="1148"/>
    <x v="26"/>
    <n v="13776"/>
  </r>
  <r>
    <x v="27"/>
    <x v="8"/>
    <x v="0"/>
    <x v="1"/>
    <x v="3"/>
    <n v="65"/>
    <n v="4067"/>
    <x v="27"/>
    <n v="264355"/>
  </r>
  <r>
    <x v="28"/>
    <x v="6"/>
    <x v="2"/>
    <x v="3"/>
    <x v="3"/>
    <n v="30"/>
    <n v="3294"/>
    <x v="28"/>
    <n v="98820"/>
  </r>
  <r>
    <x v="29"/>
    <x v="7"/>
    <x v="2"/>
    <x v="3"/>
    <x v="3"/>
    <n v="70"/>
    <n v="2269"/>
    <x v="29"/>
    <n v="158830"/>
  </r>
  <r>
    <x v="30"/>
    <x v="8"/>
    <x v="1"/>
    <x v="1"/>
    <x v="2"/>
    <n v="87"/>
    <n v="2832"/>
    <x v="30"/>
    <n v="246384"/>
  </r>
  <r>
    <x v="31"/>
    <x v="6"/>
    <x v="0"/>
    <x v="0"/>
    <x v="1"/>
    <n v="33"/>
    <n v="3414"/>
    <x v="31"/>
    <n v="112662"/>
  </r>
  <r>
    <x v="32"/>
    <x v="3"/>
    <x v="1"/>
    <x v="1"/>
    <x v="0"/>
    <n v="46"/>
    <n v="1579"/>
    <x v="32"/>
    <n v="72634"/>
  </r>
  <r>
    <x v="33"/>
    <x v="2"/>
    <x v="2"/>
    <x v="2"/>
    <x v="0"/>
    <n v="14"/>
    <n v="1342"/>
    <x v="33"/>
    <n v="18788"/>
  </r>
  <r>
    <x v="34"/>
    <x v="0"/>
    <x v="4"/>
    <x v="1"/>
    <x v="3"/>
    <n v="59"/>
    <n v="1297"/>
    <x v="34"/>
    <n v="76523"/>
  </r>
  <r>
    <x v="35"/>
    <x v="4"/>
    <x v="2"/>
    <x v="1"/>
    <x v="3"/>
    <n v="71"/>
    <n v="4518"/>
    <x v="35"/>
    <n v="320778"/>
  </r>
  <r>
    <x v="36"/>
    <x v="6"/>
    <x v="3"/>
    <x v="2"/>
    <x v="2"/>
    <n v="80"/>
    <n v="2925"/>
    <x v="36"/>
    <n v="234000"/>
  </r>
  <r>
    <x v="37"/>
    <x v="1"/>
    <x v="2"/>
    <x v="4"/>
    <x v="2"/>
    <n v="57"/>
    <n v="4951"/>
    <x v="37"/>
    <n v="282207"/>
  </r>
  <r>
    <x v="38"/>
    <x v="2"/>
    <x v="4"/>
    <x v="0"/>
    <x v="0"/>
    <n v="37"/>
    <n v="1757"/>
    <x v="38"/>
    <n v="65009"/>
  </r>
  <r>
    <x v="39"/>
    <x v="0"/>
    <x v="2"/>
    <x v="3"/>
    <x v="3"/>
    <n v="24"/>
    <n v="4412"/>
    <x v="39"/>
    <n v="105888"/>
  </r>
  <r>
    <x v="40"/>
    <x v="8"/>
    <x v="1"/>
    <x v="2"/>
    <x v="0"/>
    <n v="14"/>
    <n v="1396"/>
    <x v="40"/>
    <n v="19544"/>
  </r>
  <r>
    <x v="41"/>
    <x v="4"/>
    <x v="3"/>
    <x v="4"/>
    <x v="3"/>
    <n v="65"/>
    <n v="4050"/>
    <x v="41"/>
    <n v="263250"/>
  </r>
  <r>
    <x v="42"/>
    <x v="3"/>
    <x v="3"/>
    <x v="1"/>
    <x v="3"/>
    <n v="99"/>
    <n v="3780"/>
    <x v="42"/>
    <n v="374220"/>
  </r>
  <r>
    <x v="43"/>
    <x v="4"/>
    <x v="0"/>
    <x v="0"/>
    <x v="0"/>
    <n v="99"/>
    <n v="1075"/>
    <x v="43"/>
    <n v="106425"/>
  </r>
  <r>
    <x v="44"/>
    <x v="2"/>
    <x v="3"/>
    <x v="1"/>
    <x v="0"/>
    <n v="82"/>
    <n v="2152"/>
    <x v="44"/>
    <n v="176464"/>
  </r>
  <r>
    <x v="45"/>
    <x v="1"/>
    <x v="0"/>
    <x v="4"/>
    <x v="2"/>
    <n v="97"/>
    <n v="4983"/>
    <x v="45"/>
    <n v="483351"/>
  </r>
  <r>
    <x v="46"/>
    <x v="2"/>
    <x v="2"/>
    <x v="0"/>
    <x v="0"/>
    <n v="94"/>
    <n v="4591"/>
    <x v="46"/>
    <n v="431554"/>
  </r>
  <r>
    <x v="47"/>
    <x v="3"/>
    <x v="4"/>
    <x v="1"/>
    <x v="0"/>
    <n v="63"/>
    <n v="1793"/>
    <x v="47"/>
    <n v="112959"/>
  </r>
  <r>
    <x v="48"/>
    <x v="2"/>
    <x v="2"/>
    <x v="4"/>
    <x v="1"/>
    <n v="64"/>
    <n v="3764"/>
    <x v="48"/>
    <n v="240896"/>
  </r>
  <r>
    <x v="49"/>
    <x v="4"/>
    <x v="0"/>
    <x v="4"/>
    <x v="1"/>
    <n v="83"/>
    <n v="4055"/>
    <x v="49"/>
    <n v="3365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D00D40-7D2D-4161-837F-7717268073C2}"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3:M99" firstHeaderRow="0" firstDataRow="1" firstDataCol="1"/>
  <pivotFields count="11">
    <pivotField showAll="0"/>
    <pivotField showAll="0"/>
    <pivotField showAll="0"/>
    <pivotField axis="axisRow" showAll="0">
      <items count="6">
        <item x="4"/>
        <item x="3"/>
        <item x="2"/>
        <item x="0"/>
        <item x="1"/>
        <item t="default"/>
      </items>
    </pivotField>
    <pivotField showAll="0"/>
    <pivotField showAll="0"/>
    <pivotField dataField="1"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2"/>
  </colFields>
  <colItems count="2">
    <i>
      <x/>
    </i>
    <i i="1">
      <x v="1"/>
    </i>
  </colItems>
  <dataFields count="2">
    <dataField name="Average of Unit Price" fld="6" subtotal="average" baseField="3" baseItem="0"/>
    <dataField name="Max of Unit Price" fld="6" subtotal="max"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CC442B-D78E-4574-AAB3-BFE83AE9137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10:P117" firstHeaderRow="1" firstDataRow="2" firstDataCol="1"/>
  <pivotFields count="11">
    <pivotField showAll="0"/>
    <pivotField showAll="0"/>
    <pivotField showAll="0"/>
    <pivotField axis="axisRow" showAll="0">
      <items count="6">
        <item x="4"/>
        <item x="3"/>
        <item x="2"/>
        <item x="0"/>
        <item x="1"/>
        <item t="default"/>
      </items>
    </pivotField>
    <pivotField axis="axisCol" showAll="0">
      <items count="5">
        <item x="3"/>
        <item x="2"/>
        <item x="1"/>
        <item x="0"/>
        <item t="default"/>
      </items>
    </pivotField>
    <pivotField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4"/>
  </colFields>
  <colItems count="5">
    <i>
      <x/>
    </i>
    <i>
      <x v="1"/>
    </i>
    <i>
      <x v="2"/>
    </i>
    <i>
      <x v="3"/>
    </i>
    <i t="grand">
      <x/>
    </i>
  </colItems>
  <dataFields count="1">
    <dataField name="Sum of Total Sale" fld="8"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2" format="8" series="1">
      <pivotArea type="data" outline="0" fieldPosition="0">
        <references count="2">
          <reference field="4294967294" count="1" selected="0">
            <x v="0"/>
          </reference>
          <reference field="4" count="1" selected="0">
            <x v="0"/>
          </reference>
        </references>
      </pivotArea>
    </chartFormat>
    <chartFormat chart="2" format="9" series="1">
      <pivotArea type="data" outline="0" fieldPosition="0">
        <references count="2">
          <reference field="4294967294" count="1" selected="0">
            <x v="0"/>
          </reference>
          <reference field="4" count="1" selected="0">
            <x v="1"/>
          </reference>
        </references>
      </pivotArea>
    </chartFormat>
    <chartFormat chart="2" format="10" series="1">
      <pivotArea type="data" outline="0" fieldPosition="0">
        <references count="2">
          <reference field="4294967294" count="1" selected="0">
            <x v="0"/>
          </reference>
          <reference field="4" count="1" selected="0">
            <x v="2"/>
          </reference>
        </references>
      </pivotArea>
    </chartFormat>
    <chartFormat chart="2"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BEFCD0-144E-49A0-87C7-317CAEF94C30}"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54:Q68" firstHeaderRow="1" firstDataRow="2" firstDataCol="1"/>
  <pivotFields count="11">
    <pivotField showAll="0"/>
    <pivotField showAll="0"/>
    <pivotField axis="axisCol" showAll="0">
      <items count="6">
        <item x="0"/>
        <item x="2"/>
        <item x="4"/>
        <item x="3"/>
        <item x="1"/>
        <item t="default"/>
      </items>
    </pivotField>
    <pivotField showAll="0"/>
    <pivotField showAll="0"/>
    <pivotField dataField="1" showAll="0"/>
    <pivotField showAll="0"/>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7"/>
  </rowFields>
  <rowItems count="13">
    <i>
      <x v="1"/>
    </i>
    <i>
      <x v="2"/>
    </i>
    <i>
      <x v="3"/>
    </i>
    <i>
      <x v="4"/>
    </i>
    <i>
      <x v="5"/>
    </i>
    <i>
      <x v="6"/>
    </i>
    <i>
      <x v="7"/>
    </i>
    <i>
      <x v="8"/>
    </i>
    <i>
      <x v="9"/>
    </i>
    <i>
      <x v="10"/>
    </i>
    <i>
      <x v="11"/>
    </i>
    <i>
      <x v="12"/>
    </i>
    <i t="grand">
      <x/>
    </i>
  </rowItems>
  <colFields count="1">
    <field x="2"/>
  </colFields>
  <colItems count="6">
    <i>
      <x/>
    </i>
    <i>
      <x v="1"/>
    </i>
    <i>
      <x v="2"/>
    </i>
    <i>
      <x v="3"/>
    </i>
    <i>
      <x v="4"/>
    </i>
    <i t="grand">
      <x/>
    </i>
  </colItems>
  <dataFields count="1">
    <dataField name="Sum of Units Sold" fld="5"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4" format="10" series="1">
      <pivotArea type="data" outline="0" fieldPosition="0">
        <references count="2">
          <reference field="4294967294" count="1" selected="0">
            <x v="0"/>
          </reference>
          <reference field="2" count="1" selected="0">
            <x v="0"/>
          </reference>
        </references>
      </pivotArea>
    </chartFormat>
    <chartFormat chart="4" format="11" series="1">
      <pivotArea type="data" outline="0" fieldPosition="0">
        <references count="2">
          <reference field="4294967294" count="1" selected="0">
            <x v="0"/>
          </reference>
          <reference field="2" count="1" selected="0">
            <x v="1"/>
          </reference>
        </references>
      </pivotArea>
    </chartFormat>
    <chartFormat chart="4" format="12" series="1">
      <pivotArea type="data" outline="0" fieldPosition="0">
        <references count="2">
          <reference field="4294967294" count="1" selected="0">
            <x v="0"/>
          </reference>
          <reference field="2" count="1" selected="0">
            <x v="2"/>
          </reference>
        </references>
      </pivotArea>
    </chartFormat>
    <chartFormat chart="4" format="13" series="1">
      <pivotArea type="data" outline="0" fieldPosition="0">
        <references count="2">
          <reference field="4294967294" count="1" selected="0">
            <x v="0"/>
          </reference>
          <reference field="2" count="1" selected="0">
            <x v="3"/>
          </reference>
        </references>
      </pivotArea>
    </chartFormat>
    <chartFormat chart="4"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E84B60-0FF3-45C1-8F21-0C4FEC26AEC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5:M91" firstHeaderRow="0" firstDataRow="1" firstDataCol="1"/>
  <pivotFields count="11">
    <pivotField showAll="0"/>
    <pivotField showAll="0"/>
    <pivotField showAll="0"/>
    <pivotField axis="axisRow" showAll="0">
      <items count="6">
        <item x="4"/>
        <item x="3"/>
        <item x="2"/>
        <item x="0"/>
        <item x="1"/>
        <item t="default"/>
      </items>
    </pivotField>
    <pivotField showAll="0"/>
    <pivotField showAll="0"/>
    <pivotField dataField="1"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2"/>
  </colFields>
  <colItems count="2">
    <i>
      <x/>
    </i>
    <i i="1">
      <x v="1"/>
    </i>
  </colItems>
  <dataFields count="2">
    <dataField name="Average of Unit Price" fld="6" subtotal="average" baseField="3" baseItem="0"/>
    <dataField name="Max of Unit Price" fld="6" subtotal="max"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E3B488-B8C6-4FC4-BC8A-75257E319A8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5:D96" firstHeaderRow="1" firstDataRow="1" firstDataCol="1"/>
  <pivotFields count="11">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11">
        <item x="3"/>
        <item x="8"/>
        <item x="9"/>
        <item x="2"/>
        <item x="7"/>
        <item x="1"/>
        <item x="0"/>
        <item x="5"/>
        <item x="6"/>
        <item x="4"/>
        <item t="default"/>
      </items>
    </pivotField>
    <pivotField showAll="0"/>
    <pivotField showAll="0"/>
    <pivotField showAll="0"/>
    <pivotField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Items count="1">
    <i/>
  </colItems>
  <dataFields count="1">
    <dataField name="Sum of Total Sal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1E2A87-7291-4AF2-80DD-27E0644D504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4:D60" firstHeaderRow="1" firstDataRow="1" firstDataCol="1"/>
  <pivotFields count="11">
    <pivotField showAll="0"/>
    <pivotField showAll="0"/>
    <pivotField axis="axisRow" showAll="0">
      <items count="6">
        <item x="0"/>
        <item x="2"/>
        <item x="4"/>
        <item x="3"/>
        <item x="1"/>
        <item t="default"/>
      </items>
    </pivotField>
    <pivotField showAll="0"/>
    <pivotField showAll="0"/>
    <pivotField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 Sal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A02DBB-E211-4849-94E2-841413E3842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69:D75" firstHeaderRow="1" firstDataRow="1" firstDataCol="1"/>
  <pivotFields count="11">
    <pivotField showAll="0"/>
    <pivotField showAll="0"/>
    <pivotField showAll="0"/>
    <pivotField axis="axisRow" showAll="0">
      <items count="6">
        <item x="4"/>
        <item x="3"/>
        <item x="2"/>
        <item x="0"/>
        <item x="1"/>
        <item t="default"/>
      </items>
    </pivotField>
    <pivotField showAll="0"/>
    <pivotField dataField="1"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Units Sol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3F0B01-9E77-412B-B918-9D03CFC1E50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8:D149" firstHeaderRow="1" firstDataRow="1" firstDataCol="1"/>
  <pivotFields count="11">
    <pivotField showAll="0"/>
    <pivotField showAll="0"/>
    <pivotField showAll="0"/>
    <pivotField showAll="0"/>
    <pivotField showAll="0"/>
    <pivotField showAll="0"/>
    <pivotField showAll="0"/>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106851-F06C-4164-806A-D0FE82627F4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2:D67" firstHeaderRow="1" firstDataRow="1" firstDataCol="1"/>
  <pivotFields count="11">
    <pivotField showAll="0"/>
    <pivotField showAll="0"/>
    <pivotField showAll="0"/>
    <pivotField showAll="0"/>
    <pivotField axis="axisRow" showAll="0">
      <items count="5">
        <item x="3"/>
        <item x="2"/>
        <item x="1"/>
        <item x="0"/>
        <item t="default"/>
      </items>
    </pivotField>
    <pivotField showAll="0"/>
    <pivotField dataField="1"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Average of Unit Price"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6D1703-BAE7-4E52-A350-C43FBDA0EE2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8:D83" firstHeaderRow="1" firstDataRow="1" firstDataCol="1"/>
  <pivotFields count="11">
    <pivotField showAll="0"/>
    <pivotField showAll="0"/>
    <pivotField showAll="0"/>
    <pivotField showAll="0"/>
    <pivotField axis="axisRow" showAll="0">
      <items count="5">
        <item x="3"/>
        <item x="2"/>
        <item x="1"/>
        <item x="0"/>
        <item t="default"/>
      </items>
    </pivotField>
    <pivotField dataField="1" showAll="0"/>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FDED0A-D409-4171-9FBB-D9CFA7567DCC}" sourceName="Region">
  <data>
    <tabular pivotCacheId="1551258553">
      <items count="4">
        <i x="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8D387CB4-76B4-4629-A5F7-E5909BEBF672}" cache="Slicer_Region" caption="Region"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49"/>
  <sheetViews>
    <sheetView tabSelected="1" topLeftCell="A36" zoomScale="66" workbookViewId="0">
      <selection activeCell="M172" sqref="M172"/>
    </sheetView>
  </sheetViews>
  <sheetFormatPr defaultColWidth="12.6640625" defaultRowHeight="15.75" customHeight="1" x14ac:dyDescent="0.25"/>
  <cols>
    <col min="1" max="1" width="12.6640625" bestFit="1" customWidth="1"/>
    <col min="2" max="2" width="20.33203125" bestFit="1" customWidth="1"/>
    <col min="3" max="3" width="20.44140625" bestFit="1" customWidth="1"/>
    <col min="4" max="6" width="9.6640625" bestFit="1" customWidth="1"/>
    <col min="7" max="7" width="13.88671875" bestFit="1" customWidth="1"/>
    <col min="8" max="8" width="19.109375" bestFit="1" customWidth="1"/>
    <col min="9" max="9" width="12.6640625" bestFit="1" customWidth="1"/>
    <col min="12" max="12" width="18.6640625" bestFit="1" customWidth="1"/>
    <col min="13" max="13" width="17.33203125" bestFit="1" customWidth="1"/>
  </cols>
  <sheetData>
    <row r="1" spans="1:13" ht="14.4" x14ac:dyDescent="0.25">
      <c r="A1" s="3" t="s">
        <v>0</v>
      </c>
      <c r="B1" s="3" t="s">
        <v>1</v>
      </c>
      <c r="C1" s="3" t="s">
        <v>2</v>
      </c>
      <c r="D1" s="3" t="s">
        <v>3</v>
      </c>
      <c r="E1" s="3" t="s">
        <v>4</v>
      </c>
      <c r="F1" s="3" t="s">
        <v>5</v>
      </c>
      <c r="G1" s="3" t="s">
        <v>6</v>
      </c>
      <c r="H1" s="3" t="s">
        <v>7</v>
      </c>
      <c r="I1" s="3" t="s">
        <v>8</v>
      </c>
      <c r="J1" s="6"/>
    </row>
    <row r="2" spans="1:13" ht="15.75" customHeight="1" x14ac:dyDescent="0.3">
      <c r="A2" s="2" t="s">
        <v>9</v>
      </c>
      <c r="B2" s="2" t="s">
        <v>10</v>
      </c>
      <c r="C2" s="2" t="s">
        <v>11</v>
      </c>
      <c r="D2" s="2" t="s">
        <v>12</v>
      </c>
      <c r="E2" s="2" t="s">
        <v>13</v>
      </c>
      <c r="F2" s="4">
        <v>52</v>
      </c>
      <c r="G2" s="4">
        <v>3890</v>
      </c>
      <c r="H2" s="5">
        <v>44927</v>
      </c>
      <c r="I2" s="4">
        <v>202280</v>
      </c>
      <c r="J2" s="4"/>
    </row>
    <row r="3" spans="1:13" ht="15.75" customHeight="1" x14ac:dyDescent="0.3">
      <c r="A3" s="2" t="s">
        <v>14</v>
      </c>
      <c r="B3" s="2" t="s">
        <v>10</v>
      </c>
      <c r="C3" s="2" t="s">
        <v>11</v>
      </c>
      <c r="D3" s="2" t="s">
        <v>15</v>
      </c>
      <c r="E3" s="2" t="s">
        <v>16</v>
      </c>
      <c r="F3" s="4">
        <v>20</v>
      </c>
      <c r="G3" s="4">
        <v>1050</v>
      </c>
      <c r="H3" s="5">
        <v>44934</v>
      </c>
      <c r="I3" s="4">
        <v>21000</v>
      </c>
      <c r="J3" s="4"/>
      <c r="K3" s="7">
        <v>1</v>
      </c>
      <c r="L3" t="str">
        <f>VLOOKUP(A9,A1:I51,3,TRUE)</f>
        <v>Finance</v>
      </c>
    </row>
    <row r="4" spans="1:13" ht="15.75" customHeight="1" x14ac:dyDescent="0.3">
      <c r="A4" s="2" t="s">
        <v>17</v>
      </c>
      <c r="B4" s="2" t="s">
        <v>18</v>
      </c>
      <c r="C4" s="2" t="s">
        <v>19</v>
      </c>
      <c r="D4" s="2" t="s">
        <v>12</v>
      </c>
      <c r="E4" s="2" t="s">
        <v>16</v>
      </c>
      <c r="F4" s="4">
        <v>74</v>
      </c>
      <c r="G4" s="4">
        <v>1334</v>
      </c>
      <c r="H4" s="5">
        <v>44941</v>
      </c>
      <c r="I4" s="4">
        <v>98716</v>
      </c>
      <c r="J4" s="4"/>
      <c r="K4" s="7">
        <v>2</v>
      </c>
      <c r="L4" t="str">
        <f>HLOOKUP(D4,A1:I51,51,TRUE)</f>
        <v>Finance</v>
      </c>
    </row>
    <row r="5" spans="1:13" ht="15.75" customHeight="1" x14ac:dyDescent="0.3">
      <c r="A5" s="2" t="s">
        <v>20</v>
      </c>
      <c r="B5" s="2" t="s">
        <v>21</v>
      </c>
      <c r="C5" s="2" t="s">
        <v>11</v>
      </c>
      <c r="D5" s="2" t="s">
        <v>12</v>
      </c>
      <c r="E5" s="2" t="s">
        <v>22</v>
      </c>
      <c r="F5" s="4">
        <v>12</v>
      </c>
      <c r="G5" s="4">
        <v>2991</v>
      </c>
      <c r="H5" s="5">
        <v>44948</v>
      </c>
      <c r="I5" s="4">
        <v>35892</v>
      </c>
      <c r="J5" s="4"/>
      <c r="K5" s="7">
        <v>3</v>
      </c>
      <c r="L5" t="str">
        <f>_xlfn.XLOOKUP(D3,D1:D51,E1:E51)</f>
        <v>South</v>
      </c>
    </row>
    <row r="6" spans="1:13" ht="15.75" customHeight="1" x14ac:dyDescent="0.3">
      <c r="A6" s="2" t="s">
        <v>23</v>
      </c>
      <c r="B6" s="2" t="s">
        <v>18</v>
      </c>
      <c r="C6" s="2" t="s">
        <v>19</v>
      </c>
      <c r="D6" s="2" t="s">
        <v>24</v>
      </c>
      <c r="E6" s="2" t="s">
        <v>22</v>
      </c>
      <c r="F6" s="4">
        <v>24</v>
      </c>
      <c r="G6" s="4">
        <v>1326</v>
      </c>
      <c r="H6" s="5">
        <v>44955</v>
      </c>
      <c r="I6" s="4">
        <v>31824</v>
      </c>
      <c r="J6" s="4"/>
      <c r="K6" s="7">
        <v>4</v>
      </c>
      <c r="L6">
        <f>VLOOKUP(D10,A1:I51,7,TRUE)</f>
        <v>4055</v>
      </c>
    </row>
    <row r="7" spans="1:13" ht="15.75" customHeight="1" x14ac:dyDescent="0.3">
      <c r="A7" s="2" t="s">
        <v>25</v>
      </c>
      <c r="B7" s="2" t="s">
        <v>26</v>
      </c>
      <c r="C7" s="2" t="s">
        <v>27</v>
      </c>
      <c r="D7" s="2" t="s">
        <v>28</v>
      </c>
      <c r="E7" s="2" t="s">
        <v>22</v>
      </c>
      <c r="F7" s="4">
        <v>26</v>
      </c>
      <c r="G7" s="4">
        <v>2871</v>
      </c>
      <c r="H7" s="5">
        <v>44962</v>
      </c>
      <c r="I7" s="4">
        <v>74646</v>
      </c>
      <c r="J7" s="4"/>
      <c r="K7" s="7">
        <v>5</v>
      </c>
    </row>
    <row r="8" spans="1:13" ht="15.75" customHeight="1" x14ac:dyDescent="0.3">
      <c r="A8" s="2" t="s">
        <v>29</v>
      </c>
      <c r="B8" s="2" t="s">
        <v>26</v>
      </c>
      <c r="C8" s="2" t="s">
        <v>27</v>
      </c>
      <c r="D8" s="2" t="s">
        <v>15</v>
      </c>
      <c r="E8" s="2" t="s">
        <v>13</v>
      </c>
      <c r="F8" s="4">
        <v>39</v>
      </c>
      <c r="G8" s="4">
        <v>4625</v>
      </c>
      <c r="H8" s="5">
        <v>44969</v>
      </c>
      <c r="I8" s="4">
        <v>180375</v>
      </c>
      <c r="J8" s="4"/>
      <c r="K8" s="7">
        <v>6</v>
      </c>
      <c r="L8">
        <f>_xlfn.XLOOKUP(A12,A1:A51,I1:I51)</f>
        <v>68224</v>
      </c>
    </row>
    <row r="9" spans="1:13" ht="15.75" customHeight="1" x14ac:dyDescent="0.3">
      <c r="A9" s="2" t="s">
        <v>30</v>
      </c>
      <c r="B9" s="2" t="s">
        <v>18</v>
      </c>
      <c r="C9" s="2" t="s">
        <v>11</v>
      </c>
      <c r="D9" s="2" t="s">
        <v>15</v>
      </c>
      <c r="E9" s="2" t="s">
        <v>13</v>
      </c>
      <c r="F9" s="4">
        <v>36</v>
      </c>
      <c r="G9" s="4">
        <v>2257</v>
      </c>
      <c r="H9" s="5">
        <v>44976</v>
      </c>
      <c r="I9" s="4">
        <v>81252</v>
      </c>
      <c r="J9" s="4"/>
      <c r="K9" s="7">
        <v>7</v>
      </c>
      <c r="L9">
        <f>_xlfn.XLOOKUP(D12,D1:D51,F1:F51)</f>
        <v>52</v>
      </c>
    </row>
    <row r="10" spans="1:13" ht="15.75" customHeight="1" x14ac:dyDescent="0.3">
      <c r="A10" s="2" t="s">
        <v>31</v>
      </c>
      <c r="B10" s="2" t="s">
        <v>32</v>
      </c>
      <c r="C10" s="2" t="s">
        <v>27</v>
      </c>
      <c r="D10" s="2" t="s">
        <v>24</v>
      </c>
      <c r="E10" s="2" t="s">
        <v>33</v>
      </c>
      <c r="F10" s="4">
        <v>88</v>
      </c>
      <c r="G10" s="4">
        <v>3168</v>
      </c>
      <c r="H10" s="5">
        <v>44983</v>
      </c>
      <c r="I10" s="4">
        <v>278784</v>
      </c>
      <c r="J10" s="4"/>
      <c r="K10" s="7">
        <v>8</v>
      </c>
      <c r="L10" t="str">
        <f>LOOKUP(B49,B2:B51)</f>
        <v>Alice</v>
      </c>
    </row>
    <row r="11" spans="1:13" ht="15.75" customHeight="1" x14ac:dyDescent="0.3">
      <c r="A11" s="2" t="s">
        <v>34</v>
      </c>
      <c r="B11" s="2" t="s">
        <v>32</v>
      </c>
      <c r="C11" s="2" t="s">
        <v>35</v>
      </c>
      <c r="D11" s="2" t="s">
        <v>15</v>
      </c>
      <c r="E11" s="2" t="s">
        <v>22</v>
      </c>
      <c r="F11" s="4">
        <v>95</v>
      </c>
      <c r="G11" s="4">
        <v>2360</v>
      </c>
      <c r="H11" s="5">
        <v>44990</v>
      </c>
      <c r="I11" s="4">
        <v>224200</v>
      </c>
      <c r="J11" s="4"/>
      <c r="K11" s="7">
        <v>9</v>
      </c>
      <c r="L11" t="str" cm="1">
        <f t="array" ref="L11:M12">_xlfn._xlws.FILTER(D1:E19,F1:F19&gt;90)</f>
        <v>Product</v>
      </c>
      <c r="M11" t="str">
        <v>Region</v>
      </c>
    </row>
    <row r="12" spans="1:13" ht="15.75" customHeight="1" x14ac:dyDescent="0.3">
      <c r="A12" s="2" t="s">
        <v>36</v>
      </c>
      <c r="B12" s="2" t="s">
        <v>37</v>
      </c>
      <c r="C12" s="2" t="s">
        <v>38</v>
      </c>
      <c r="D12" s="2" t="s">
        <v>12</v>
      </c>
      <c r="E12" s="2" t="s">
        <v>22</v>
      </c>
      <c r="F12" s="4">
        <v>16</v>
      </c>
      <c r="G12" s="4">
        <v>4264</v>
      </c>
      <c r="H12" s="5">
        <v>44997</v>
      </c>
      <c r="I12" s="4">
        <v>68224</v>
      </c>
      <c r="J12" s="4"/>
      <c r="L12" t="str">
        <v>Tablet</v>
      </c>
      <c r="M12" t="str">
        <v>North</v>
      </c>
    </row>
    <row r="13" spans="1:13" ht="15.75" customHeight="1" x14ac:dyDescent="0.3">
      <c r="A13" s="2" t="s">
        <v>39</v>
      </c>
      <c r="B13" s="2" t="s">
        <v>18</v>
      </c>
      <c r="C13" s="2" t="s">
        <v>27</v>
      </c>
      <c r="D13" s="2" t="s">
        <v>28</v>
      </c>
      <c r="E13" s="2" t="s">
        <v>22</v>
      </c>
      <c r="F13" s="4">
        <v>11</v>
      </c>
      <c r="G13" s="4">
        <v>4003</v>
      </c>
      <c r="H13" s="5">
        <v>45004</v>
      </c>
      <c r="I13" s="4">
        <v>44033</v>
      </c>
      <c r="J13" s="4"/>
    </row>
    <row r="14" spans="1:13" ht="15.75" customHeight="1" x14ac:dyDescent="0.3">
      <c r="A14" s="2" t="s">
        <v>40</v>
      </c>
      <c r="B14" s="2" t="s">
        <v>41</v>
      </c>
      <c r="C14" s="2" t="s">
        <v>38</v>
      </c>
      <c r="D14" s="2" t="s">
        <v>28</v>
      </c>
      <c r="E14" s="2" t="s">
        <v>16</v>
      </c>
      <c r="F14" s="4">
        <v>28</v>
      </c>
      <c r="G14" s="4">
        <v>4411</v>
      </c>
      <c r="H14" s="5">
        <v>45011</v>
      </c>
      <c r="I14" s="4">
        <v>123508</v>
      </c>
      <c r="J14" s="4"/>
    </row>
    <row r="15" spans="1:13" ht="15.75" customHeight="1" x14ac:dyDescent="0.3">
      <c r="A15" s="2" t="s">
        <v>42</v>
      </c>
      <c r="B15" s="2" t="s">
        <v>43</v>
      </c>
      <c r="C15" s="2" t="s">
        <v>27</v>
      </c>
      <c r="D15" s="2" t="s">
        <v>24</v>
      </c>
      <c r="E15" s="2" t="s">
        <v>33</v>
      </c>
      <c r="F15" s="4">
        <v>76</v>
      </c>
      <c r="G15" s="4">
        <v>4104</v>
      </c>
      <c r="H15" s="5">
        <v>45018</v>
      </c>
      <c r="I15" s="4">
        <v>311904</v>
      </c>
      <c r="J15" s="4"/>
      <c r="K15" s="7"/>
    </row>
    <row r="16" spans="1:13" ht="15.75" customHeight="1" x14ac:dyDescent="0.3">
      <c r="A16" s="2" t="s">
        <v>46</v>
      </c>
      <c r="B16" s="2" t="s">
        <v>21</v>
      </c>
      <c r="C16" s="2" t="s">
        <v>11</v>
      </c>
      <c r="D16" s="2" t="s">
        <v>24</v>
      </c>
      <c r="E16" s="2" t="s">
        <v>33</v>
      </c>
      <c r="F16" s="4">
        <v>74</v>
      </c>
      <c r="G16" s="4">
        <v>3342</v>
      </c>
      <c r="H16" s="5">
        <v>45025</v>
      </c>
      <c r="I16" s="4">
        <v>247308</v>
      </c>
      <c r="J16" s="4"/>
    </row>
    <row r="17" spans="1:11" ht="15.75" customHeight="1" x14ac:dyDescent="0.3">
      <c r="A17" s="2" t="s">
        <v>47</v>
      </c>
      <c r="B17" s="2" t="s">
        <v>21</v>
      </c>
      <c r="C17" s="2" t="s">
        <v>11</v>
      </c>
      <c r="D17" s="2" t="s">
        <v>24</v>
      </c>
      <c r="E17" s="2" t="s">
        <v>22</v>
      </c>
      <c r="F17" s="4">
        <v>47</v>
      </c>
      <c r="G17" s="4">
        <v>1647</v>
      </c>
      <c r="H17" s="5">
        <v>45032</v>
      </c>
      <c r="I17" s="4">
        <v>77409</v>
      </c>
      <c r="J17" s="4"/>
    </row>
    <row r="18" spans="1:11" ht="15.75" customHeight="1" x14ac:dyDescent="0.3">
      <c r="A18" s="2" t="s">
        <v>48</v>
      </c>
      <c r="B18" s="2" t="s">
        <v>32</v>
      </c>
      <c r="C18" s="2" t="s">
        <v>35</v>
      </c>
      <c r="D18" s="2" t="s">
        <v>24</v>
      </c>
      <c r="E18" s="2" t="s">
        <v>22</v>
      </c>
      <c r="F18" s="4">
        <v>60</v>
      </c>
      <c r="G18" s="4">
        <v>2045</v>
      </c>
      <c r="H18" s="5">
        <v>45039</v>
      </c>
      <c r="I18" s="4">
        <v>122700</v>
      </c>
      <c r="J18" s="4"/>
    </row>
    <row r="19" spans="1:11" ht="15.75" customHeight="1" x14ac:dyDescent="0.3">
      <c r="A19" s="2" t="s">
        <v>49</v>
      </c>
      <c r="B19" s="2" t="s">
        <v>10</v>
      </c>
      <c r="C19" s="2" t="s">
        <v>38</v>
      </c>
      <c r="D19" s="2" t="s">
        <v>24</v>
      </c>
      <c r="E19" s="2" t="s">
        <v>16</v>
      </c>
      <c r="F19" s="4">
        <v>62</v>
      </c>
      <c r="G19" s="4">
        <v>3073</v>
      </c>
      <c r="H19" s="5">
        <v>45046</v>
      </c>
      <c r="I19" s="4">
        <v>190526</v>
      </c>
      <c r="J19" s="4"/>
    </row>
    <row r="20" spans="1:11" ht="15.75" customHeight="1" x14ac:dyDescent="0.3">
      <c r="A20" s="2" t="s">
        <v>50</v>
      </c>
      <c r="B20" s="2" t="s">
        <v>18</v>
      </c>
      <c r="C20" s="2" t="s">
        <v>38</v>
      </c>
      <c r="D20" s="2" t="s">
        <v>15</v>
      </c>
      <c r="E20" s="2" t="s">
        <v>33</v>
      </c>
      <c r="F20" s="4">
        <v>57</v>
      </c>
      <c r="G20" s="4">
        <v>2641</v>
      </c>
      <c r="H20" s="5">
        <v>45053</v>
      </c>
      <c r="I20" s="4">
        <v>150537</v>
      </c>
      <c r="J20" s="4"/>
    </row>
    <row r="21" spans="1:11" ht="15.75" customHeight="1" x14ac:dyDescent="0.3">
      <c r="A21" s="2" t="s">
        <v>51</v>
      </c>
      <c r="B21" s="2" t="s">
        <v>18</v>
      </c>
      <c r="C21" s="2" t="s">
        <v>38</v>
      </c>
      <c r="D21" s="2" t="s">
        <v>24</v>
      </c>
      <c r="E21" s="2" t="s">
        <v>16</v>
      </c>
      <c r="F21" s="4">
        <v>32</v>
      </c>
      <c r="G21" s="4">
        <v>1582</v>
      </c>
      <c r="H21" s="5">
        <v>45060</v>
      </c>
      <c r="I21" s="4">
        <v>50624</v>
      </c>
      <c r="J21" s="4"/>
    </row>
    <row r="22" spans="1:11" ht="15.75" customHeight="1" x14ac:dyDescent="0.3">
      <c r="A22" s="2" t="s">
        <v>53</v>
      </c>
      <c r="B22" s="2" t="s">
        <v>54</v>
      </c>
      <c r="C22" s="2" t="s">
        <v>11</v>
      </c>
      <c r="D22" s="2" t="s">
        <v>15</v>
      </c>
      <c r="E22" s="2" t="s">
        <v>13</v>
      </c>
      <c r="F22" s="4">
        <v>64</v>
      </c>
      <c r="G22" s="4">
        <v>3773</v>
      </c>
      <c r="H22" s="5">
        <v>45067</v>
      </c>
      <c r="I22" s="4">
        <v>241472</v>
      </c>
      <c r="J22" s="4"/>
    </row>
    <row r="23" spans="1:11" ht="15.75" customHeight="1" x14ac:dyDescent="0.3">
      <c r="A23" s="2" t="s">
        <v>55</v>
      </c>
      <c r="B23" s="2" t="s">
        <v>41</v>
      </c>
      <c r="C23" s="2" t="s">
        <v>38</v>
      </c>
      <c r="D23" s="2" t="s">
        <v>15</v>
      </c>
      <c r="E23" s="2" t="s">
        <v>22</v>
      </c>
      <c r="F23" s="4">
        <v>25</v>
      </c>
      <c r="G23" s="4">
        <v>2213</v>
      </c>
      <c r="H23" s="5">
        <v>45074</v>
      </c>
      <c r="I23" s="4">
        <v>55325</v>
      </c>
      <c r="J23" s="4"/>
      <c r="K23" s="7"/>
    </row>
    <row r="24" spans="1:11" ht="15.75" customHeight="1" x14ac:dyDescent="0.3">
      <c r="A24" s="2" t="s">
        <v>57</v>
      </c>
      <c r="B24" s="2" t="s">
        <v>18</v>
      </c>
      <c r="C24" s="2" t="s">
        <v>11</v>
      </c>
      <c r="D24" s="2" t="s">
        <v>12</v>
      </c>
      <c r="E24" s="2" t="s">
        <v>22</v>
      </c>
      <c r="F24" s="4">
        <v>43</v>
      </c>
      <c r="G24" s="4">
        <v>1518</v>
      </c>
      <c r="H24" s="5">
        <v>45081</v>
      </c>
      <c r="I24" s="4">
        <v>65274</v>
      </c>
      <c r="J24" s="4"/>
    </row>
    <row r="25" spans="1:11" ht="15.75" customHeight="1" x14ac:dyDescent="0.3">
      <c r="A25" s="2" t="s">
        <v>58</v>
      </c>
      <c r="B25" s="2" t="s">
        <v>43</v>
      </c>
      <c r="C25" s="2" t="s">
        <v>38</v>
      </c>
      <c r="D25" s="2" t="s">
        <v>24</v>
      </c>
      <c r="E25" s="2" t="s">
        <v>16</v>
      </c>
      <c r="F25" s="4">
        <v>18</v>
      </c>
      <c r="G25" s="4">
        <v>1042</v>
      </c>
      <c r="H25" s="5">
        <v>45088</v>
      </c>
      <c r="I25" s="4">
        <v>18756</v>
      </c>
      <c r="J25" s="4"/>
    </row>
    <row r="26" spans="1:11" ht="15.75" customHeight="1" x14ac:dyDescent="0.3">
      <c r="A26" s="2" t="s">
        <v>59</v>
      </c>
      <c r="B26" s="2" t="s">
        <v>54</v>
      </c>
      <c r="C26" s="2" t="s">
        <v>19</v>
      </c>
      <c r="D26" s="2" t="s">
        <v>24</v>
      </c>
      <c r="E26" s="2" t="s">
        <v>33</v>
      </c>
      <c r="F26" s="4">
        <v>2</v>
      </c>
      <c r="G26" s="4">
        <v>2178</v>
      </c>
      <c r="H26" s="5">
        <v>45095</v>
      </c>
      <c r="I26" s="4">
        <v>4356</v>
      </c>
      <c r="J26" s="4"/>
    </row>
    <row r="27" spans="1:11" ht="14.4" x14ac:dyDescent="0.3">
      <c r="A27" s="2" t="s">
        <v>60</v>
      </c>
      <c r="B27" s="2" t="s">
        <v>61</v>
      </c>
      <c r="C27" s="2" t="s">
        <v>27</v>
      </c>
      <c r="D27" s="2" t="s">
        <v>12</v>
      </c>
      <c r="E27" s="2" t="s">
        <v>33</v>
      </c>
      <c r="F27" s="4">
        <v>84</v>
      </c>
      <c r="G27" s="4">
        <v>4439</v>
      </c>
      <c r="H27" s="5">
        <v>45102</v>
      </c>
      <c r="I27" s="4">
        <v>372876</v>
      </c>
      <c r="J27" s="4"/>
    </row>
    <row r="28" spans="1:11" ht="14.4" x14ac:dyDescent="0.3">
      <c r="A28" s="2" t="s">
        <v>62</v>
      </c>
      <c r="B28" s="2" t="s">
        <v>18</v>
      </c>
      <c r="C28" s="2" t="s">
        <v>11</v>
      </c>
      <c r="D28" s="2" t="s">
        <v>24</v>
      </c>
      <c r="E28" s="2" t="s">
        <v>22</v>
      </c>
      <c r="F28" s="4">
        <v>12</v>
      </c>
      <c r="G28" s="4">
        <v>1148</v>
      </c>
      <c r="H28" s="5">
        <v>45109</v>
      </c>
      <c r="I28" s="4">
        <v>13776</v>
      </c>
      <c r="J28" s="4"/>
    </row>
    <row r="29" spans="1:11" ht="14.4" x14ac:dyDescent="0.3">
      <c r="A29" s="2" t="s">
        <v>63</v>
      </c>
      <c r="B29" s="2" t="s">
        <v>54</v>
      </c>
      <c r="C29" s="2" t="s">
        <v>11</v>
      </c>
      <c r="D29" s="2" t="s">
        <v>15</v>
      </c>
      <c r="E29" s="2" t="s">
        <v>33</v>
      </c>
      <c r="F29" s="4">
        <v>65</v>
      </c>
      <c r="G29" s="4">
        <v>4067</v>
      </c>
      <c r="H29" s="5">
        <v>45116</v>
      </c>
      <c r="I29" s="4">
        <v>264355</v>
      </c>
      <c r="J29" s="4"/>
    </row>
    <row r="30" spans="1:11" ht="14.4" x14ac:dyDescent="0.3">
      <c r="A30" s="2" t="s">
        <v>64</v>
      </c>
      <c r="B30" s="2" t="s">
        <v>41</v>
      </c>
      <c r="C30" s="2" t="s">
        <v>27</v>
      </c>
      <c r="D30" s="2" t="s">
        <v>28</v>
      </c>
      <c r="E30" s="2" t="s">
        <v>33</v>
      </c>
      <c r="F30" s="4">
        <v>30</v>
      </c>
      <c r="G30" s="4">
        <v>3294</v>
      </c>
      <c r="H30" s="5">
        <v>45123</v>
      </c>
      <c r="I30" s="4">
        <v>98820</v>
      </c>
      <c r="J30" s="4"/>
      <c r="K30" s="7"/>
    </row>
    <row r="31" spans="1:11" ht="14.4" x14ac:dyDescent="0.3">
      <c r="A31" s="2" t="s">
        <v>66</v>
      </c>
      <c r="B31" s="2" t="s">
        <v>43</v>
      </c>
      <c r="C31" s="2" t="s">
        <v>27</v>
      </c>
      <c r="D31" s="2" t="s">
        <v>28</v>
      </c>
      <c r="E31" s="2" t="s">
        <v>33</v>
      </c>
      <c r="F31" s="4">
        <v>70</v>
      </c>
      <c r="G31" s="4">
        <v>2269</v>
      </c>
      <c r="H31" s="5">
        <v>45130</v>
      </c>
      <c r="I31" s="4">
        <v>158830</v>
      </c>
      <c r="J31" s="4"/>
    </row>
    <row r="32" spans="1:11" ht="14.4" x14ac:dyDescent="0.3">
      <c r="A32" s="2" t="s">
        <v>68</v>
      </c>
      <c r="B32" s="2" t="s">
        <v>54</v>
      </c>
      <c r="C32" s="2" t="s">
        <v>19</v>
      </c>
      <c r="D32" s="2" t="s">
        <v>15</v>
      </c>
      <c r="E32" s="2" t="s">
        <v>22</v>
      </c>
      <c r="F32" s="4">
        <v>87</v>
      </c>
      <c r="G32" s="4">
        <v>2832</v>
      </c>
      <c r="H32" s="5">
        <v>45137</v>
      </c>
      <c r="I32" s="4">
        <v>246384</v>
      </c>
      <c r="J32" s="4"/>
    </row>
    <row r="33" spans="1:11" ht="14.4" x14ac:dyDescent="0.3">
      <c r="A33" s="2" t="s">
        <v>69</v>
      </c>
      <c r="B33" s="2" t="s">
        <v>41</v>
      </c>
      <c r="C33" s="2" t="s">
        <v>11</v>
      </c>
      <c r="D33" s="2" t="s">
        <v>12</v>
      </c>
      <c r="E33" s="2" t="s">
        <v>16</v>
      </c>
      <c r="F33" s="4">
        <v>33</v>
      </c>
      <c r="G33" s="4">
        <v>3414</v>
      </c>
      <c r="H33" s="5">
        <v>45144</v>
      </c>
      <c r="I33" s="4">
        <v>112662</v>
      </c>
      <c r="J33" s="4"/>
    </row>
    <row r="34" spans="1:11" ht="14.4" x14ac:dyDescent="0.3">
      <c r="A34" s="2" t="s">
        <v>70</v>
      </c>
      <c r="B34" s="2" t="s">
        <v>26</v>
      </c>
      <c r="C34" s="2" t="s">
        <v>19</v>
      </c>
      <c r="D34" s="2" t="s">
        <v>15</v>
      </c>
      <c r="E34" s="2" t="s">
        <v>13</v>
      </c>
      <c r="F34" s="4">
        <v>46</v>
      </c>
      <c r="G34" s="4">
        <v>1579</v>
      </c>
      <c r="H34" s="5">
        <v>45151</v>
      </c>
      <c r="I34" s="4">
        <v>72634</v>
      </c>
      <c r="J34" s="4"/>
    </row>
    <row r="35" spans="1:11" ht="14.4" x14ac:dyDescent="0.3">
      <c r="A35" s="2" t="s">
        <v>71</v>
      </c>
      <c r="B35" s="2" t="s">
        <v>21</v>
      </c>
      <c r="C35" s="2" t="s">
        <v>27</v>
      </c>
      <c r="D35" s="2" t="s">
        <v>24</v>
      </c>
      <c r="E35" s="2" t="s">
        <v>13</v>
      </c>
      <c r="F35" s="4">
        <v>14</v>
      </c>
      <c r="G35" s="4">
        <v>1342</v>
      </c>
      <c r="H35" s="5">
        <v>45158</v>
      </c>
      <c r="I35" s="4">
        <v>18788</v>
      </c>
      <c r="J35" s="4"/>
    </row>
    <row r="36" spans="1:11" ht="14.4" x14ac:dyDescent="0.3">
      <c r="A36" s="2" t="s">
        <v>72</v>
      </c>
      <c r="B36" s="2" t="s">
        <v>10</v>
      </c>
      <c r="C36" s="2" t="s">
        <v>38</v>
      </c>
      <c r="D36" s="2" t="s">
        <v>15</v>
      </c>
      <c r="E36" s="2" t="s">
        <v>33</v>
      </c>
      <c r="F36" s="4">
        <v>59</v>
      </c>
      <c r="G36" s="4">
        <v>1297</v>
      </c>
      <c r="H36" s="5">
        <v>45165</v>
      </c>
      <c r="I36" s="4">
        <v>76523</v>
      </c>
      <c r="J36" s="4"/>
    </row>
    <row r="37" spans="1:11" ht="14.4" x14ac:dyDescent="0.3">
      <c r="A37" s="2" t="s">
        <v>73</v>
      </c>
      <c r="B37" s="2" t="s">
        <v>32</v>
      </c>
      <c r="C37" s="2" t="s">
        <v>27</v>
      </c>
      <c r="D37" s="2" t="s">
        <v>15</v>
      </c>
      <c r="E37" s="2" t="s">
        <v>33</v>
      </c>
      <c r="F37" s="4">
        <v>71</v>
      </c>
      <c r="G37" s="4">
        <v>4518</v>
      </c>
      <c r="H37" s="5">
        <v>45172</v>
      </c>
      <c r="I37" s="4">
        <v>320778</v>
      </c>
      <c r="J37" s="4"/>
    </row>
    <row r="38" spans="1:11" ht="14.4" x14ac:dyDescent="0.3">
      <c r="A38" s="2" t="s">
        <v>74</v>
      </c>
      <c r="B38" s="2" t="s">
        <v>41</v>
      </c>
      <c r="C38" s="2" t="s">
        <v>35</v>
      </c>
      <c r="D38" s="2" t="s">
        <v>24</v>
      </c>
      <c r="E38" s="2" t="s">
        <v>22</v>
      </c>
      <c r="F38" s="4">
        <v>80</v>
      </c>
      <c r="G38" s="4">
        <v>2925</v>
      </c>
      <c r="H38" s="5">
        <v>45179</v>
      </c>
      <c r="I38" s="4">
        <v>234000</v>
      </c>
      <c r="J38" s="4"/>
    </row>
    <row r="39" spans="1:11" ht="14.4" x14ac:dyDescent="0.3">
      <c r="A39" s="2" t="s">
        <v>75</v>
      </c>
      <c r="B39" s="2" t="s">
        <v>18</v>
      </c>
      <c r="C39" s="2" t="s">
        <v>27</v>
      </c>
      <c r="D39" s="2" t="s">
        <v>67</v>
      </c>
      <c r="E39" s="2" t="s">
        <v>22</v>
      </c>
      <c r="F39" s="4">
        <v>57</v>
      </c>
      <c r="G39" s="4">
        <v>4951</v>
      </c>
      <c r="H39" s="5">
        <v>45186</v>
      </c>
      <c r="I39" s="4">
        <v>282207</v>
      </c>
      <c r="J39" s="4"/>
      <c r="K39" s="7"/>
    </row>
    <row r="40" spans="1:11" ht="14.4" x14ac:dyDescent="0.3">
      <c r="A40" s="2" t="s">
        <v>76</v>
      </c>
      <c r="B40" s="2" t="s">
        <v>21</v>
      </c>
      <c r="C40" s="2" t="s">
        <v>38</v>
      </c>
      <c r="D40" s="2" t="s">
        <v>12</v>
      </c>
      <c r="E40" s="2" t="s">
        <v>13</v>
      </c>
      <c r="F40" s="4">
        <v>37</v>
      </c>
      <c r="G40" s="4">
        <v>1757</v>
      </c>
      <c r="H40" s="5">
        <v>45193</v>
      </c>
      <c r="I40" s="4">
        <v>65009</v>
      </c>
      <c r="J40" s="4"/>
    </row>
    <row r="41" spans="1:11" ht="14.4" x14ac:dyDescent="0.3">
      <c r="A41" s="2" t="s">
        <v>77</v>
      </c>
      <c r="B41" s="2" t="s">
        <v>10</v>
      </c>
      <c r="C41" s="2" t="s">
        <v>27</v>
      </c>
      <c r="D41" s="2" t="s">
        <v>28</v>
      </c>
      <c r="E41" s="2" t="s">
        <v>33</v>
      </c>
      <c r="F41" s="4">
        <v>24</v>
      </c>
      <c r="G41" s="4">
        <v>4412</v>
      </c>
      <c r="H41" s="5">
        <v>45200</v>
      </c>
      <c r="I41" s="4">
        <v>105888</v>
      </c>
      <c r="J41" s="4"/>
    </row>
    <row r="42" spans="1:11" ht="14.4" x14ac:dyDescent="0.3">
      <c r="A42" s="2" t="s">
        <v>78</v>
      </c>
      <c r="B42" s="2" t="s">
        <v>54</v>
      </c>
      <c r="C42" s="2" t="s">
        <v>19</v>
      </c>
      <c r="D42" s="2" t="s">
        <v>24</v>
      </c>
      <c r="E42" s="2" t="s">
        <v>13</v>
      </c>
      <c r="F42" s="4">
        <v>14</v>
      </c>
      <c r="G42" s="4">
        <v>1396</v>
      </c>
      <c r="H42" s="5">
        <v>45207</v>
      </c>
      <c r="I42" s="4">
        <v>19544</v>
      </c>
      <c r="J42" s="4"/>
    </row>
    <row r="43" spans="1:11" ht="14.4" x14ac:dyDescent="0.3">
      <c r="A43" s="2" t="s">
        <v>79</v>
      </c>
      <c r="B43" s="2" t="s">
        <v>32</v>
      </c>
      <c r="C43" s="2" t="s">
        <v>35</v>
      </c>
      <c r="D43" s="2" t="s">
        <v>67</v>
      </c>
      <c r="E43" s="2" t="s">
        <v>33</v>
      </c>
      <c r="F43" s="4">
        <v>65</v>
      </c>
      <c r="G43" s="4">
        <v>4050</v>
      </c>
      <c r="H43" s="5">
        <v>45214</v>
      </c>
      <c r="I43" s="4">
        <v>263250</v>
      </c>
      <c r="J43" s="4"/>
    </row>
    <row r="44" spans="1:11" ht="14.4" x14ac:dyDescent="0.3">
      <c r="A44" s="2" t="s">
        <v>80</v>
      </c>
      <c r="B44" s="2" t="s">
        <v>26</v>
      </c>
      <c r="C44" s="2" t="s">
        <v>35</v>
      </c>
      <c r="D44" s="2" t="s">
        <v>15</v>
      </c>
      <c r="E44" s="2" t="s">
        <v>33</v>
      </c>
      <c r="F44" s="4">
        <v>99</v>
      </c>
      <c r="G44" s="4">
        <v>3780</v>
      </c>
      <c r="H44" s="5">
        <v>45221</v>
      </c>
      <c r="I44" s="4">
        <v>374220</v>
      </c>
      <c r="J44" s="4"/>
    </row>
    <row r="45" spans="1:11" ht="14.4" x14ac:dyDescent="0.3">
      <c r="A45" s="2" t="s">
        <v>81</v>
      </c>
      <c r="B45" s="2" t="s">
        <v>32</v>
      </c>
      <c r="C45" s="2" t="s">
        <v>11</v>
      </c>
      <c r="D45" s="2" t="s">
        <v>12</v>
      </c>
      <c r="E45" s="2" t="s">
        <v>13</v>
      </c>
      <c r="F45" s="4">
        <v>99</v>
      </c>
      <c r="G45" s="4">
        <v>1075</v>
      </c>
      <c r="H45" s="5">
        <v>45228</v>
      </c>
      <c r="I45" s="4">
        <v>106425</v>
      </c>
      <c r="J45" s="4"/>
    </row>
    <row r="46" spans="1:11" ht="14.4" x14ac:dyDescent="0.3">
      <c r="A46" s="2" t="s">
        <v>82</v>
      </c>
      <c r="B46" s="2" t="s">
        <v>21</v>
      </c>
      <c r="C46" s="2" t="s">
        <v>35</v>
      </c>
      <c r="D46" s="2" t="s">
        <v>15</v>
      </c>
      <c r="E46" s="2" t="s">
        <v>13</v>
      </c>
      <c r="F46" s="4">
        <v>82</v>
      </c>
      <c r="G46" s="4">
        <v>2152</v>
      </c>
      <c r="H46" s="5">
        <v>45235</v>
      </c>
      <c r="I46" s="4">
        <v>176464</v>
      </c>
      <c r="J46" s="4"/>
      <c r="K46" s="7"/>
    </row>
    <row r="47" spans="1:11" ht="14.4" x14ac:dyDescent="0.3">
      <c r="A47" s="2" t="s">
        <v>83</v>
      </c>
      <c r="B47" s="2" t="s">
        <v>18</v>
      </c>
      <c r="C47" s="2" t="s">
        <v>11</v>
      </c>
      <c r="D47" s="2" t="s">
        <v>67</v>
      </c>
      <c r="E47" s="2" t="s">
        <v>22</v>
      </c>
      <c r="F47" s="4">
        <v>97</v>
      </c>
      <c r="G47" s="4">
        <v>4983</v>
      </c>
      <c r="H47" s="5">
        <v>45242</v>
      </c>
      <c r="I47" s="4">
        <v>483351</v>
      </c>
      <c r="J47" s="4"/>
    </row>
    <row r="48" spans="1:11" ht="14.4" x14ac:dyDescent="0.3">
      <c r="A48" s="2" t="s">
        <v>84</v>
      </c>
      <c r="B48" s="2" t="s">
        <v>21</v>
      </c>
      <c r="C48" s="2" t="s">
        <v>27</v>
      </c>
      <c r="D48" s="2" t="s">
        <v>12</v>
      </c>
      <c r="E48" s="2" t="s">
        <v>13</v>
      </c>
      <c r="F48" s="4">
        <v>94</v>
      </c>
      <c r="G48" s="4">
        <v>4591</v>
      </c>
      <c r="H48" s="5">
        <v>45249</v>
      </c>
      <c r="I48" s="4">
        <v>431554</v>
      </c>
      <c r="J48" s="4"/>
    </row>
    <row r="49" spans="1:17" ht="14.4" x14ac:dyDescent="0.3">
      <c r="A49" s="2" t="s">
        <v>85</v>
      </c>
      <c r="B49" s="2" t="s">
        <v>26</v>
      </c>
      <c r="C49" s="2" t="s">
        <v>38</v>
      </c>
      <c r="D49" s="2" t="s">
        <v>15</v>
      </c>
      <c r="E49" s="2" t="s">
        <v>13</v>
      </c>
      <c r="F49" s="4">
        <v>63</v>
      </c>
      <c r="G49" s="4">
        <v>1793</v>
      </c>
      <c r="H49" s="5">
        <v>45256</v>
      </c>
      <c r="I49" s="4">
        <v>112959</v>
      </c>
      <c r="J49" s="4"/>
    </row>
    <row r="50" spans="1:17" ht="14.4" x14ac:dyDescent="0.3">
      <c r="A50" s="2" t="s">
        <v>86</v>
      </c>
      <c r="B50" s="2" t="s">
        <v>21</v>
      </c>
      <c r="C50" s="2" t="s">
        <v>27</v>
      </c>
      <c r="D50" s="2" t="s">
        <v>67</v>
      </c>
      <c r="E50" s="2" t="s">
        <v>16</v>
      </c>
      <c r="F50" s="4">
        <v>64</v>
      </c>
      <c r="G50" s="4">
        <v>3764</v>
      </c>
      <c r="H50" s="5">
        <v>45263</v>
      </c>
      <c r="I50" s="4">
        <v>240896</v>
      </c>
      <c r="J50" s="4"/>
    </row>
    <row r="51" spans="1:17" ht="14.4" x14ac:dyDescent="0.3">
      <c r="A51" s="2" t="s">
        <v>87</v>
      </c>
      <c r="B51" s="2" t="s">
        <v>32</v>
      </c>
      <c r="C51" s="2" t="s">
        <v>11</v>
      </c>
      <c r="D51" s="2" t="s">
        <v>67</v>
      </c>
      <c r="E51" s="2" t="s">
        <v>16</v>
      </c>
      <c r="F51" s="4">
        <v>83</v>
      </c>
      <c r="G51" s="4">
        <v>4055</v>
      </c>
      <c r="H51" s="5">
        <v>45270</v>
      </c>
      <c r="I51" s="4">
        <v>336565</v>
      </c>
      <c r="J51" s="4"/>
    </row>
    <row r="54" spans="1:17" ht="15.75" customHeight="1" x14ac:dyDescent="0.3">
      <c r="B54" s="7">
        <v>1</v>
      </c>
      <c r="C54" s="8" t="s">
        <v>44</v>
      </c>
      <c r="D54" t="s">
        <v>45</v>
      </c>
      <c r="J54">
        <v>7</v>
      </c>
      <c r="K54" s="8" t="s">
        <v>65</v>
      </c>
      <c r="L54" s="8" t="s">
        <v>88</v>
      </c>
    </row>
    <row r="55" spans="1:17" ht="15.75" customHeight="1" x14ac:dyDescent="0.25">
      <c r="C55" s="9" t="s">
        <v>11</v>
      </c>
      <c r="D55">
        <v>2289021</v>
      </c>
      <c r="K55" s="8" t="s">
        <v>44</v>
      </c>
      <c r="L55" t="s">
        <v>11</v>
      </c>
      <c r="M55" t="s">
        <v>27</v>
      </c>
      <c r="N55" t="s">
        <v>38</v>
      </c>
      <c r="O55" t="s">
        <v>35</v>
      </c>
      <c r="P55" t="s">
        <v>19</v>
      </c>
      <c r="Q55" t="s">
        <v>52</v>
      </c>
    </row>
    <row r="56" spans="1:17" ht="15.75" customHeight="1" x14ac:dyDescent="0.25">
      <c r="C56" s="9" t="s">
        <v>27</v>
      </c>
      <c r="D56">
        <v>2920379</v>
      </c>
      <c r="K56" s="9" t="s">
        <v>89</v>
      </c>
      <c r="L56">
        <v>84</v>
      </c>
      <c r="P56">
        <v>98</v>
      </c>
      <c r="Q56">
        <v>182</v>
      </c>
    </row>
    <row r="57" spans="1:17" ht="15.75" customHeight="1" x14ac:dyDescent="0.25">
      <c r="C57" s="9" t="s">
        <v>38</v>
      </c>
      <c r="D57">
        <v>911991</v>
      </c>
      <c r="K57" s="9" t="s">
        <v>90</v>
      </c>
      <c r="L57">
        <v>36</v>
      </c>
      <c r="M57">
        <v>153</v>
      </c>
      <c r="Q57">
        <v>189</v>
      </c>
    </row>
    <row r="58" spans="1:17" ht="15.75" customHeight="1" x14ac:dyDescent="0.25">
      <c r="C58" s="9" t="s">
        <v>35</v>
      </c>
      <c r="D58">
        <v>1394834</v>
      </c>
      <c r="K58" s="9" t="s">
        <v>91</v>
      </c>
      <c r="M58">
        <v>11</v>
      </c>
      <c r="N58">
        <v>44</v>
      </c>
      <c r="O58">
        <v>95</v>
      </c>
      <c r="Q58">
        <v>150</v>
      </c>
    </row>
    <row r="59" spans="1:17" ht="15.75" customHeight="1" x14ac:dyDescent="0.25">
      <c r="C59" s="9" t="s">
        <v>19</v>
      </c>
      <c r="D59">
        <v>473458</v>
      </c>
      <c r="K59" s="9" t="s">
        <v>92</v>
      </c>
      <c r="L59">
        <v>121</v>
      </c>
      <c r="M59">
        <v>76</v>
      </c>
      <c r="N59">
        <v>62</v>
      </c>
      <c r="O59">
        <v>60</v>
      </c>
      <c r="Q59">
        <v>319</v>
      </c>
    </row>
    <row r="60" spans="1:17" ht="15.75" customHeight="1" x14ac:dyDescent="0.25">
      <c r="C60" s="9" t="s">
        <v>52</v>
      </c>
      <c r="D60">
        <v>7989683</v>
      </c>
      <c r="K60" s="9" t="s">
        <v>93</v>
      </c>
      <c r="L60">
        <v>64</v>
      </c>
      <c r="N60">
        <v>114</v>
      </c>
      <c r="Q60">
        <v>178</v>
      </c>
    </row>
    <row r="61" spans="1:17" ht="15.75" customHeight="1" x14ac:dyDescent="0.25">
      <c r="K61" s="9" t="s">
        <v>94</v>
      </c>
      <c r="L61">
        <v>43</v>
      </c>
      <c r="M61">
        <v>84</v>
      </c>
      <c r="N61">
        <v>18</v>
      </c>
      <c r="P61">
        <v>2</v>
      </c>
      <c r="Q61">
        <v>147</v>
      </c>
    </row>
    <row r="62" spans="1:17" ht="15.75" customHeight="1" x14ac:dyDescent="0.3">
      <c r="B62" s="7">
        <v>2</v>
      </c>
      <c r="C62" s="8" t="s">
        <v>44</v>
      </c>
      <c r="D62" t="s">
        <v>56</v>
      </c>
      <c r="K62" s="9" t="s">
        <v>95</v>
      </c>
      <c r="L62">
        <v>77</v>
      </c>
      <c r="M62">
        <v>100</v>
      </c>
      <c r="P62">
        <v>87</v>
      </c>
      <c r="Q62">
        <v>264</v>
      </c>
    </row>
    <row r="63" spans="1:17" ht="15.75" customHeight="1" x14ac:dyDescent="0.25">
      <c r="C63" s="9" t="s">
        <v>33</v>
      </c>
      <c r="D63">
        <v>3397.0714285714284</v>
      </c>
      <c r="K63" s="9" t="s">
        <v>96</v>
      </c>
      <c r="L63">
        <v>33</v>
      </c>
      <c r="M63">
        <v>14</v>
      </c>
      <c r="N63">
        <v>59</v>
      </c>
      <c r="P63">
        <v>46</v>
      </c>
      <c r="Q63">
        <v>152</v>
      </c>
    </row>
    <row r="64" spans="1:17" ht="15.75" customHeight="1" x14ac:dyDescent="0.25">
      <c r="C64" s="9" t="s">
        <v>22</v>
      </c>
      <c r="D64">
        <v>2805.1333333333332</v>
      </c>
      <c r="K64" s="9" t="s">
        <v>97</v>
      </c>
      <c r="M64">
        <v>128</v>
      </c>
      <c r="N64">
        <v>37</v>
      </c>
      <c r="O64">
        <v>80</v>
      </c>
      <c r="Q64">
        <v>245</v>
      </c>
    </row>
    <row r="65" spans="2:17" ht="15.75" customHeight="1" x14ac:dyDescent="0.25">
      <c r="C65" s="9" t="s">
        <v>16</v>
      </c>
      <c r="D65">
        <v>2636.1111111111113</v>
      </c>
      <c r="K65" s="9" t="s">
        <v>98</v>
      </c>
      <c r="L65">
        <v>99</v>
      </c>
      <c r="M65">
        <v>24</v>
      </c>
      <c r="O65">
        <v>164</v>
      </c>
      <c r="P65">
        <v>14</v>
      </c>
      <c r="Q65">
        <v>301</v>
      </c>
    </row>
    <row r="66" spans="2:17" ht="15.75" customHeight="1" x14ac:dyDescent="0.25">
      <c r="C66" s="9" t="s">
        <v>13</v>
      </c>
      <c r="D66">
        <v>2519.1666666666665</v>
      </c>
      <c r="K66" s="9" t="s">
        <v>99</v>
      </c>
      <c r="L66">
        <v>97</v>
      </c>
      <c r="M66">
        <v>94</v>
      </c>
      <c r="N66">
        <v>63</v>
      </c>
      <c r="O66">
        <v>82</v>
      </c>
      <c r="Q66">
        <v>336</v>
      </c>
    </row>
    <row r="67" spans="2:17" ht="15.75" customHeight="1" x14ac:dyDescent="0.25">
      <c r="C67" s="9" t="s">
        <v>52</v>
      </c>
      <c r="D67">
        <v>2871.82</v>
      </c>
      <c r="K67" s="9" t="s">
        <v>100</v>
      </c>
      <c r="L67">
        <v>83</v>
      </c>
      <c r="M67">
        <v>64</v>
      </c>
      <c r="Q67">
        <v>147</v>
      </c>
    </row>
    <row r="68" spans="2:17" ht="15.75" customHeight="1" x14ac:dyDescent="0.25">
      <c r="K68" s="9" t="s">
        <v>52</v>
      </c>
      <c r="L68">
        <v>737</v>
      </c>
      <c r="M68">
        <v>748</v>
      </c>
      <c r="N68">
        <v>397</v>
      </c>
      <c r="O68">
        <v>481</v>
      </c>
      <c r="P68">
        <v>247</v>
      </c>
      <c r="Q68">
        <v>2610</v>
      </c>
    </row>
    <row r="69" spans="2:17" ht="15.75" customHeight="1" x14ac:dyDescent="0.3">
      <c r="B69" s="7">
        <v>3</v>
      </c>
      <c r="C69" s="8" t="s">
        <v>44</v>
      </c>
      <c r="D69" t="s">
        <v>65</v>
      </c>
    </row>
    <row r="70" spans="2:17" ht="15.75" customHeight="1" x14ac:dyDescent="0.25">
      <c r="C70" s="9" t="s">
        <v>67</v>
      </c>
      <c r="D70">
        <v>366</v>
      </c>
    </row>
    <row r="71" spans="2:17" ht="15.75" customHeight="1" x14ac:dyDescent="0.25">
      <c r="C71" s="9" t="s">
        <v>28</v>
      </c>
      <c r="D71">
        <v>189</v>
      </c>
    </row>
    <row r="72" spans="2:17" ht="15.75" customHeight="1" x14ac:dyDescent="0.25">
      <c r="C72" s="9" t="s">
        <v>24</v>
      </c>
      <c r="D72">
        <v>603</v>
      </c>
    </row>
    <row r="73" spans="2:17" ht="15.75" customHeight="1" x14ac:dyDescent="0.25">
      <c r="C73" s="9" t="s">
        <v>12</v>
      </c>
      <c r="D73">
        <v>544</v>
      </c>
    </row>
    <row r="74" spans="2:17" ht="15.75" customHeight="1" x14ac:dyDescent="0.25">
      <c r="C74" s="9" t="s">
        <v>15</v>
      </c>
      <c r="D74">
        <v>908</v>
      </c>
    </row>
    <row r="75" spans="2:17" ht="15.75" customHeight="1" x14ac:dyDescent="0.25">
      <c r="C75" s="9" t="s">
        <v>52</v>
      </c>
      <c r="D75">
        <v>2610</v>
      </c>
    </row>
    <row r="78" spans="2:17" ht="15.75" customHeight="1" x14ac:dyDescent="0.3">
      <c r="B78" s="7">
        <v>4</v>
      </c>
      <c r="C78" s="8" t="s">
        <v>44</v>
      </c>
      <c r="D78" t="s">
        <v>65</v>
      </c>
    </row>
    <row r="79" spans="2:17" ht="15.75" customHeight="1" x14ac:dyDescent="0.25">
      <c r="C79" s="9" t="s">
        <v>33</v>
      </c>
      <c r="D79">
        <v>864</v>
      </c>
    </row>
    <row r="80" spans="2:17" ht="15.75" customHeight="1" x14ac:dyDescent="0.25">
      <c r="C80" s="9" t="s">
        <v>22</v>
      </c>
      <c r="D80">
        <v>692</v>
      </c>
    </row>
    <row r="81" spans="2:13" ht="15.75" customHeight="1" x14ac:dyDescent="0.25">
      <c r="C81" s="9" t="s">
        <v>16</v>
      </c>
      <c r="D81">
        <v>414</v>
      </c>
    </row>
    <row r="82" spans="2:13" ht="15.75" customHeight="1" x14ac:dyDescent="0.25">
      <c r="C82" s="9" t="s">
        <v>13</v>
      </c>
      <c r="D82">
        <v>640</v>
      </c>
    </row>
    <row r="83" spans="2:13" ht="15.75" customHeight="1" x14ac:dyDescent="0.25">
      <c r="C83" s="9" t="s">
        <v>52</v>
      </c>
      <c r="D83">
        <v>2610</v>
      </c>
    </row>
    <row r="85" spans="2:13" ht="15.75" customHeight="1" x14ac:dyDescent="0.3">
      <c r="B85" s="7">
        <v>5</v>
      </c>
      <c r="C85" s="8" t="s">
        <v>44</v>
      </c>
      <c r="D85" t="s">
        <v>45</v>
      </c>
      <c r="J85">
        <v>9</v>
      </c>
      <c r="K85" s="8" t="s">
        <v>44</v>
      </c>
      <c r="L85" s="8" t="s">
        <v>56</v>
      </c>
      <c r="M85" t="s">
        <v>101</v>
      </c>
    </row>
    <row r="86" spans="2:13" ht="15.75" customHeight="1" x14ac:dyDescent="0.25">
      <c r="C86" s="9" t="s">
        <v>26</v>
      </c>
      <c r="D86">
        <v>814834</v>
      </c>
      <c r="K86" s="9" t="s">
        <v>67</v>
      </c>
      <c r="L86">
        <v>4360.6000000000004</v>
      </c>
      <c r="M86">
        <v>4983</v>
      </c>
    </row>
    <row r="87" spans="2:13" ht="15.75" customHeight="1" x14ac:dyDescent="0.25">
      <c r="C87" s="9" t="s">
        <v>54</v>
      </c>
      <c r="D87">
        <v>776111</v>
      </c>
      <c r="K87" s="9" t="s">
        <v>28</v>
      </c>
      <c r="L87">
        <v>3543.3333333333335</v>
      </c>
      <c r="M87">
        <v>4412</v>
      </c>
    </row>
    <row r="88" spans="2:13" ht="15.75" customHeight="1" x14ac:dyDescent="0.25">
      <c r="C88" s="9" t="s">
        <v>61</v>
      </c>
      <c r="D88">
        <v>372876</v>
      </c>
      <c r="K88" s="9" t="s">
        <v>24</v>
      </c>
      <c r="L88">
        <v>2165.5714285714284</v>
      </c>
      <c r="M88">
        <v>4104</v>
      </c>
    </row>
    <row r="89" spans="2:13" ht="15.75" customHeight="1" x14ac:dyDescent="0.25">
      <c r="C89" s="9" t="s">
        <v>21</v>
      </c>
      <c r="D89">
        <v>1293320</v>
      </c>
      <c r="K89" s="9" t="s">
        <v>12</v>
      </c>
      <c r="L89">
        <v>2927.3</v>
      </c>
      <c r="M89">
        <v>4591</v>
      </c>
    </row>
    <row r="90" spans="2:13" ht="15.75" customHeight="1" x14ac:dyDescent="0.25">
      <c r="C90" s="9" t="s">
        <v>43</v>
      </c>
      <c r="D90">
        <v>489490</v>
      </c>
      <c r="K90" s="9" t="s">
        <v>15</v>
      </c>
      <c r="L90">
        <v>2729.1333333333332</v>
      </c>
      <c r="M90">
        <v>4625</v>
      </c>
    </row>
    <row r="91" spans="2:13" ht="15.75" customHeight="1" x14ac:dyDescent="0.25">
      <c r="C91" s="9" t="s">
        <v>18</v>
      </c>
      <c r="D91">
        <v>1301594</v>
      </c>
      <c r="K91" s="9" t="s">
        <v>52</v>
      </c>
      <c r="L91">
        <v>2871.82</v>
      </c>
      <c r="M91">
        <v>4983</v>
      </c>
    </row>
    <row r="92" spans="2:13" ht="15.75" customHeight="1" x14ac:dyDescent="0.25">
      <c r="C92" s="9" t="s">
        <v>10</v>
      </c>
      <c r="D92">
        <v>596217</v>
      </c>
    </row>
    <row r="93" spans="2:13" ht="15.75" customHeight="1" x14ac:dyDescent="0.25">
      <c r="C93" s="9" t="s">
        <v>37</v>
      </c>
      <c r="D93">
        <v>68224</v>
      </c>
      <c r="J93">
        <v>9</v>
      </c>
      <c r="K93" s="8" t="s">
        <v>44</v>
      </c>
      <c r="L93" s="8" t="s">
        <v>56</v>
      </c>
      <c r="M93" t="s">
        <v>101</v>
      </c>
    </row>
    <row r="94" spans="2:13" ht="15.75" customHeight="1" x14ac:dyDescent="0.25">
      <c r="C94" s="9" t="s">
        <v>41</v>
      </c>
      <c r="D94">
        <v>624315</v>
      </c>
      <c r="K94" s="9" t="s">
        <v>67</v>
      </c>
      <c r="L94">
        <v>4360.6000000000004</v>
      </c>
      <c r="M94">
        <v>4983</v>
      </c>
    </row>
    <row r="95" spans="2:13" ht="15.75" customHeight="1" x14ac:dyDescent="0.25">
      <c r="C95" s="9" t="s">
        <v>32</v>
      </c>
      <c r="D95">
        <v>1652702</v>
      </c>
      <c r="K95" s="9" t="s">
        <v>28</v>
      </c>
      <c r="L95">
        <v>3543.3333333333335</v>
      </c>
      <c r="M95">
        <v>4412</v>
      </c>
    </row>
    <row r="96" spans="2:13" ht="15.75" customHeight="1" x14ac:dyDescent="0.25">
      <c r="C96" s="9" t="s">
        <v>52</v>
      </c>
      <c r="D96">
        <v>7989683</v>
      </c>
      <c r="K96" s="9" t="s">
        <v>24</v>
      </c>
      <c r="L96">
        <v>2165.5714285714284</v>
      </c>
      <c r="M96">
        <v>4104</v>
      </c>
    </row>
    <row r="97" spans="2:16" ht="15.75" customHeight="1" x14ac:dyDescent="0.25">
      <c r="K97" s="9" t="s">
        <v>12</v>
      </c>
      <c r="L97">
        <v>2927.3</v>
      </c>
      <c r="M97">
        <v>4591</v>
      </c>
    </row>
    <row r="98" spans="2:16" ht="15.75" customHeight="1" x14ac:dyDescent="0.25">
      <c r="B98">
        <v>6</v>
      </c>
      <c r="C98" s="8" t="s">
        <v>44</v>
      </c>
      <c r="D98" t="s">
        <v>45</v>
      </c>
      <c r="K98" s="9" t="s">
        <v>15</v>
      </c>
      <c r="L98">
        <v>2729.1333333333332</v>
      </c>
      <c r="M98">
        <v>4625</v>
      </c>
    </row>
    <row r="99" spans="2:16" ht="15.75" customHeight="1" x14ac:dyDescent="0.25">
      <c r="C99" s="10">
        <v>44927</v>
      </c>
      <c r="D99">
        <v>202280</v>
      </c>
      <c r="K99" s="9" t="s">
        <v>52</v>
      </c>
      <c r="L99">
        <v>2871.82</v>
      </c>
      <c r="M99">
        <v>4983</v>
      </c>
    </row>
    <row r="100" spans="2:16" ht="15.75" customHeight="1" x14ac:dyDescent="0.25">
      <c r="C100" s="10">
        <v>44934</v>
      </c>
      <c r="D100">
        <v>21000</v>
      </c>
    </row>
    <row r="101" spans="2:16" ht="15.75" customHeight="1" x14ac:dyDescent="0.25">
      <c r="C101" s="10">
        <v>44941</v>
      </c>
      <c r="D101">
        <v>98716</v>
      </c>
    </row>
    <row r="102" spans="2:16" ht="15.75" customHeight="1" x14ac:dyDescent="0.25">
      <c r="C102" s="10">
        <v>44948</v>
      </c>
      <c r="D102">
        <v>35892</v>
      </c>
      <c r="J102">
        <v>8</v>
      </c>
    </row>
    <row r="103" spans="2:16" ht="15.75" customHeight="1" x14ac:dyDescent="0.25">
      <c r="C103" s="10">
        <v>44955</v>
      </c>
      <c r="D103">
        <v>31824</v>
      </c>
    </row>
    <row r="104" spans="2:16" ht="15.75" customHeight="1" x14ac:dyDescent="0.25">
      <c r="C104" s="10">
        <v>44962</v>
      </c>
      <c r="D104">
        <v>74646</v>
      </c>
    </row>
    <row r="105" spans="2:16" ht="15.75" customHeight="1" x14ac:dyDescent="0.25">
      <c r="C105" s="10">
        <v>44969</v>
      </c>
      <c r="D105">
        <v>180375</v>
      </c>
    </row>
    <row r="106" spans="2:16" ht="15.75" customHeight="1" x14ac:dyDescent="0.25">
      <c r="C106" s="10">
        <v>44976</v>
      </c>
      <c r="D106">
        <v>81252</v>
      </c>
    </row>
    <row r="107" spans="2:16" ht="15.75" customHeight="1" x14ac:dyDescent="0.25">
      <c r="C107" s="10">
        <v>44983</v>
      </c>
      <c r="D107">
        <v>278784</v>
      </c>
    </row>
    <row r="108" spans="2:16" ht="15.75" customHeight="1" x14ac:dyDescent="0.25">
      <c r="C108" s="10">
        <v>44990</v>
      </c>
      <c r="D108">
        <v>224200</v>
      </c>
    </row>
    <row r="109" spans="2:16" ht="15.75" customHeight="1" x14ac:dyDescent="0.25">
      <c r="C109" s="10">
        <v>44997</v>
      </c>
      <c r="D109">
        <v>68224</v>
      </c>
    </row>
    <row r="110" spans="2:16" ht="15.75" customHeight="1" x14ac:dyDescent="0.25">
      <c r="C110" s="10">
        <v>45004</v>
      </c>
      <c r="D110">
        <v>44033</v>
      </c>
      <c r="J110">
        <v>10</v>
      </c>
      <c r="K110" s="8" t="s">
        <v>45</v>
      </c>
      <c r="L110" s="8" t="s">
        <v>88</v>
      </c>
    </row>
    <row r="111" spans="2:16" ht="15.75" customHeight="1" x14ac:dyDescent="0.25">
      <c r="C111" s="10">
        <v>45011</v>
      </c>
      <c r="D111">
        <v>123508</v>
      </c>
      <c r="K111" s="8" t="s">
        <v>44</v>
      </c>
      <c r="L111" t="s">
        <v>33</v>
      </c>
      <c r="M111" t="s">
        <v>22</v>
      </c>
      <c r="N111" t="s">
        <v>16</v>
      </c>
      <c r="O111" t="s">
        <v>13</v>
      </c>
      <c r="P111" t="s">
        <v>52</v>
      </c>
    </row>
    <row r="112" spans="2:16" ht="15.75" customHeight="1" x14ac:dyDescent="0.25">
      <c r="C112" s="10">
        <v>45018</v>
      </c>
      <c r="D112">
        <v>311904</v>
      </c>
      <c r="K112" s="9" t="s">
        <v>67</v>
      </c>
      <c r="L112">
        <v>263250</v>
      </c>
      <c r="M112">
        <v>765558</v>
      </c>
      <c r="N112">
        <v>577461</v>
      </c>
      <c r="P112">
        <v>1606269</v>
      </c>
    </row>
    <row r="113" spans="3:16" ht="15.75" customHeight="1" x14ac:dyDescent="0.25">
      <c r="C113" s="10">
        <v>45025</v>
      </c>
      <c r="D113">
        <v>247308</v>
      </c>
      <c r="K113" s="9" t="s">
        <v>28</v>
      </c>
      <c r="L113">
        <v>363538</v>
      </c>
      <c r="M113">
        <v>118679</v>
      </c>
      <c r="N113">
        <v>123508</v>
      </c>
      <c r="P113">
        <v>605725</v>
      </c>
    </row>
    <row r="114" spans="3:16" ht="15.75" customHeight="1" x14ac:dyDescent="0.25">
      <c r="C114" s="10">
        <v>45032</v>
      </c>
      <c r="D114">
        <v>77409</v>
      </c>
      <c r="K114" s="9" t="s">
        <v>24</v>
      </c>
      <c r="L114">
        <v>842352</v>
      </c>
      <c r="M114">
        <v>479709</v>
      </c>
      <c r="N114">
        <v>259906</v>
      </c>
      <c r="O114">
        <v>38332</v>
      </c>
      <c r="P114">
        <v>1620299</v>
      </c>
    </row>
    <row r="115" spans="3:16" ht="15.75" customHeight="1" x14ac:dyDescent="0.25">
      <c r="C115" s="10">
        <v>45039</v>
      </c>
      <c r="D115">
        <v>122700</v>
      </c>
      <c r="K115" s="9" t="s">
        <v>12</v>
      </c>
      <c r="L115">
        <v>372876</v>
      </c>
      <c r="M115">
        <v>169390</v>
      </c>
      <c r="N115">
        <v>211378</v>
      </c>
      <c r="O115">
        <v>805268</v>
      </c>
      <c r="P115">
        <v>1558912</v>
      </c>
    </row>
    <row r="116" spans="3:16" ht="15.75" customHeight="1" x14ac:dyDescent="0.25">
      <c r="C116" s="10">
        <v>45046</v>
      </c>
      <c r="D116">
        <v>190526</v>
      </c>
      <c r="K116" s="9" t="s">
        <v>15</v>
      </c>
      <c r="L116">
        <v>1186413</v>
      </c>
      <c r="M116">
        <v>525909</v>
      </c>
      <c r="N116">
        <v>21000</v>
      </c>
      <c r="O116">
        <v>865156</v>
      </c>
      <c r="P116">
        <v>2598478</v>
      </c>
    </row>
    <row r="117" spans="3:16" ht="15.75" customHeight="1" x14ac:dyDescent="0.25">
      <c r="C117" s="10">
        <v>45053</v>
      </c>
      <c r="D117">
        <v>150537</v>
      </c>
      <c r="K117" s="9" t="s">
        <v>52</v>
      </c>
      <c r="L117">
        <v>3028429</v>
      </c>
      <c r="M117">
        <v>2059245</v>
      </c>
      <c r="N117">
        <v>1193253</v>
      </c>
      <c r="O117">
        <v>1708756</v>
      </c>
      <c r="P117">
        <v>7989683</v>
      </c>
    </row>
    <row r="118" spans="3:16" ht="15.75" customHeight="1" x14ac:dyDescent="0.25">
      <c r="C118" s="10">
        <v>45060</v>
      </c>
      <c r="D118">
        <v>50624</v>
      </c>
    </row>
    <row r="119" spans="3:16" ht="15.75" customHeight="1" x14ac:dyDescent="0.25">
      <c r="C119" s="10">
        <v>45067</v>
      </c>
      <c r="D119">
        <v>241472</v>
      </c>
    </row>
    <row r="120" spans="3:16" ht="15.75" customHeight="1" x14ac:dyDescent="0.25">
      <c r="C120" s="10">
        <v>45074</v>
      </c>
      <c r="D120">
        <v>55325</v>
      </c>
    </row>
    <row r="121" spans="3:16" ht="15.75" customHeight="1" x14ac:dyDescent="0.25">
      <c r="C121" s="10">
        <v>45081</v>
      </c>
      <c r="D121">
        <v>65274</v>
      </c>
    </row>
    <row r="122" spans="3:16" ht="15.75" customHeight="1" x14ac:dyDescent="0.25">
      <c r="C122" s="10">
        <v>45088</v>
      </c>
      <c r="D122">
        <v>18756</v>
      </c>
    </row>
    <row r="123" spans="3:16" ht="15.75" customHeight="1" x14ac:dyDescent="0.25">
      <c r="C123" s="10">
        <v>45095</v>
      </c>
      <c r="D123">
        <v>4356</v>
      </c>
    </row>
    <row r="124" spans="3:16" ht="15.75" customHeight="1" x14ac:dyDescent="0.25">
      <c r="C124" s="10">
        <v>45102</v>
      </c>
      <c r="D124">
        <v>372876</v>
      </c>
    </row>
    <row r="125" spans="3:16" ht="15.75" customHeight="1" x14ac:dyDescent="0.25">
      <c r="C125" s="10">
        <v>45109</v>
      </c>
      <c r="D125">
        <v>13776</v>
      </c>
    </row>
    <row r="126" spans="3:16" ht="15.75" customHeight="1" x14ac:dyDescent="0.25">
      <c r="C126" s="10">
        <v>45116</v>
      </c>
      <c r="D126">
        <v>264355</v>
      </c>
    </row>
    <row r="127" spans="3:16" ht="15.75" customHeight="1" x14ac:dyDescent="0.25">
      <c r="C127" s="10">
        <v>45123</v>
      </c>
      <c r="D127">
        <v>98820</v>
      </c>
    </row>
    <row r="128" spans="3:16" ht="15.75" customHeight="1" x14ac:dyDescent="0.25">
      <c r="C128" s="10">
        <v>45130</v>
      </c>
      <c r="D128">
        <v>158830</v>
      </c>
    </row>
    <row r="129" spans="3:4" ht="15.75" customHeight="1" x14ac:dyDescent="0.25">
      <c r="C129" s="10">
        <v>45137</v>
      </c>
      <c r="D129">
        <v>246384</v>
      </c>
    </row>
    <row r="130" spans="3:4" ht="15.75" customHeight="1" x14ac:dyDescent="0.25">
      <c r="C130" s="10">
        <v>45144</v>
      </c>
      <c r="D130">
        <v>112662</v>
      </c>
    </row>
    <row r="131" spans="3:4" ht="15.75" customHeight="1" x14ac:dyDescent="0.25">
      <c r="C131" s="10">
        <v>45151</v>
      </c>
      <c r="D131">
        <v>72634</v>
      </c>
    </row>
    <row r="132" spans="3:4" ht="15.75" customHeight="1" x14ac:dyDescent="0.25">
      <c r="C132" s="10">
        <v>45158</v>
      </c>
      <c r="D132">
        <v>18788</v>
      </c>
    </row>
    <row r="133" spans="3:4" ht="15.75" customHeight="1" x14ac:dyDescent="0.25">
      <c r="C133" s="10">
        <v>45165</v>
      </c>
      <c r="D133">
        <v>76523</v>
      </c>
    </row>
    <row r="134" spans="3:4" ht="15.75" customHeight="1" x14ac:dyDescent="0.25">
      <c r="C134" s="10">
        <v>45172</v>
      </c>
      <c r="D134">
        <v>320778</v>
      </c>
    </row>
    <row r="135" spans="3:4" ht="15.75" customHeight="1" x14ac:dyDescent="0.25">
      <c r="C135" s="10">
        <v>45179</v>
      </c>
      <c r="D135">
        <v>234000</v>
      </c>
    </row>
    <row r="136" spans="3:4" ht="15.75" customHeight="1" x14ac:dyDescent="0.25">
      <c r="C136" s="10">
        <v>45186</v>
      </c>
      <c r="D136">
        <v>282207</v>
      </c>
    </row>
    <row r="137" spans="3:4" ht="15.75" customHeight="1" x14ac:dyDescent="0.25">
      <c r="C137" s="10">
        <v>45193</v>
      </c>
      <c r="D137">
        <v>65009</v>
      </c>
    </row>
    <row r="138" spans="3:4" ht="15.75" customHeight="1" x14ac:dyDescent="0.25">
      <c r="C138" s="10">
        <v>45200</v>
      </c>
      <c r="D138">
        <v>105888</v>
      </c>
    </row>
    <row r="139" spans="3:4" ht="15.75" customHeight="1" x14ac:dyDescent="0.25">
      <c r="C139" s="10">
        <v>45207</v>
      </c>
      <c r="D139">
        <v>19544</v>
      </c>
    </row>
    <row r="140" spans="3:4" ht="15.75" customHeight="1" x14ac:dyDescent="0.25">
      <c r="C140" s="10">
        <v>45214</v>
      </c>
      <c r="D140">
        <v>263250</v>
      </c>
    </row>
    <row r="141" spans="3:4" ht="15.75" customHeight="1" x14ac:dyDescent="0.25">
      <c r="C141" s="10">
        <v>45221</v>
      </c>
      <c r="D141">
        <v>374220</v>
      </c>
    </row>
    <row r="142" spans="3:4" ht="15.75" customHeight="1" x14ac:dyDescent="0.25">
      <c r="C142" s="10">
        <v>45228</v>
      </c>
      <c r="D142">
        <v>106425</v>
      </c>
    </row>
    <row r="143" spans="3:4" ht="15.75" customHeight="1" x14ac:dyDescent="0.25">
      <c r="C143" s="10">
        <v>45235</v>
      </c>
      <c r="D143">
        <v>176464</v>
      </c>
    </row>
    <row r="144" spans="3:4" ht="15.75" customHeight="1" x14ac:dyDescent="0.25">
      <c r="C144" s="10">
        <v>45242</v>
      </c>
      <c r="D144">
        <v>483351</v>
      </c>
    </row>
    <row r="145" spans="3:4" ht="15.75" customHeight="1" x14ac:dyDescent="0.25">
      <c r="C145" s="10">
        <v>45249</v>
      </c>
      <c r="D145">
        <v>431554</v>
      </c>
    </row>
    <row r="146" spans="3:4" ht="15.75" customHeight="1" x14ac:dyDescent="0.25">
      <c r="C146" s="10">
        <v>45256</v>
      </c>
      <c r="D146">
        <v>112959</v>
      </c>
    </row>
    <row r="147" spans="3:4" ht="15.75" customHeight="1" x14ac:dyDescent="0.25">
      <c r="C147" s="10">
        <v>45263</v>
      </c>
      <c r="D147">
        <v>240896</v>
      </c>
    </row>
    <row r="148" spans="3:4" ht="15.75" customHeight="1" x14ac:dyDescent="0.25">
      <c r="C148" s="10">
        <v>45270</v>
      </c>
      <c r="D148">
        <v>336565</v>
      </c>
    </row>
    <row r="149" spans="3:4" ht="15.75" customHeight="1" x14ac:dyDescent="0.25">
      <c r="C149" s="10" t="s">
        <v>52</v>
      </c>
      <c r="D149">
        <v>7989683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2"/>
  <sheetViews>
    <sheetView workbookViewId="0"/>
  </sheetViews>
  <sheetFormatPr defaultColWidth="12.6640625" defaultRowHeight="15.75" customHeight="1" x14ac:dyDescent="0.25"/>
  <sheetData>
    <row r="1" spans="1:1" ht="15.75" customHeight="1" x14ac:dyDescent="0.3">
      <c r="A1" s="1" t="s">
        <v>102</v>
      </c>
    </row>
    <row r="2" spans="1:1" ht="15.75" customHeight="1" x14ac:dyDescent="0.3">
      <c r="A2" s="2" t="s">
        <v>103</v>
      </c>
    </row>
    <row r="3" spans="1:1" ht="15.75" customHeight="1" x14ac:dyDescent="0.3">
      <c r="A3" s="2" t="s">
        <v>104</v>
      </c>
    </row>
    <row r="4" spans="1:1" ht="15.75" customHeight="1" x14ac:dyDescent="0.3">
      <c r="A4" s="2" t="s">
        <v>105</v>
      </c>
    </row>
    <row r="5" spans="1:1" ht="15.75" customHeight="1" x14ac:dyDescent="0.3">
      <c r="A5" s="2" t="s">
        <v>106</v>
      </c>
    </row>
    <row r="6" spans="1:1" ht="15.75" customHeight="1" x14ac:dyDescent="0.3">
      <c r="A6" s="2" t="s">
        <v>107</v>
      </c>
    </row>
    <row r="7" spans="1:1" ht="15.75" customHeight="1" x14ac:dyDescent="0.3">
      <c r="A7" s="2" t="s">
        <v>108</v>
      </c>
    </row>
    <row r="8" spans="1:1" ht="15.75" customHeight="1" x14ac:dyDescent="0.3">
      <c r="A8" s="2" t="s">
        <v>109</v>
      </c>
    </row>
    <row r="9" spans="1:1" ht="15.75" customHeight="1" x14ac:dyDescent="0.3">
      <c r="A9" s="2" t="s">
        <v>110</v>
      </c>
    </row>
    <row r="10" spans="1:1" ht="15.75" customHeight="1" x14ac:dyDescent="0.3">
      <c r="A10" s="2" t="s">
        <v>111</v>
      </c>
    </row>
    <row r="11" spans="1:1" ht="15.75" customHeight="1" x14ac:dyDescent="0.3">
      <c r="A11" s="2" t="s">
        <v>112</v>
      </c>
    </row>
    <row r="12" spans="1:1" ht="15.75" customHeight="1" x14ac:dyDescent="0.3">
      <c r="A12" s="1" t="s">
        <v>113</v>
      </c>
    </row>
    <row r="13" spans="1:1" ht="15.75" customHeight="1" x14ac:dyDescent="0.3">
      <c r="A13" s="2" t="s">
        <v>114</v>
      </c>
    </row>
    <row r="14" spans="1:1" ht="15.75" customHeight="1" x14ac:dyDescent="0.3">
      <c r="A14" s="2" t="s">
        <v>115</v>
      </c>
    </row>
    <row r="15" spans="1:1" ht="15.75" customHeight="1" x14ac:dyDescent="0.3">
      <c r="A15" s="2" t="s">
        <v>116</v>
      </c>
    </row>
    <row r="16" spans="1:1" ht="15.75" customHeight="1" x14ac:dyDescent="0.3">
      <c r="A16" s="2" t="s">
        <v>117</v>
      </c>
    </row>
    <row r="17" spans="1:1" ht="15.75" customHeight="1" x14ac:dyDescent="0.3">
      <c r="A17" s="2" t="s">
        <v>118</v>
      </c>
    </row>
    <row r="18" spans="1:1" ht="15.75" customHeight="1" x14ac:dyDescent="0.3">
      <c r="A18" s="2" t="s">
        <v>119</v>
      </c>
    </row>
    <row r="19" spans="1:1" ht="15.75" customHeight="1" x14ac:dyDescent="0.3">
      <c r="A19" s="2" t="s">
        <v>120</v>
      </c>
    </row>
    <row r="20" spans="1:1" ht="15.75" customHeight="1" x14ac:dyDescent="0.3">
      <c r="A20" s="2" t="s">
        <v>121</v>
      </c>
    </row>
    <row r="21" spans="1:1" ht="15.75" customHeight="1" x14ac:dyDescent="0.3">
      <c r="A21" s="2" t="s">
        <v>122</v>
      </c>
    </row>
    <row r="22" spans="1:1" ht="15.75" customHeight="1" x14ac:dyDescent="0.3">
      <c r="A22" s="2"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Radi</dc:creator>
  <cp:keywords/>
  <dc:description/>
  <cp:lastModifiedBy>Muhammad Radin</cp:lastModifiedBy>
  <cp:revision/>
  <dcterms:created xsi:type="dcterms:W3CDTF">2026-08-11T05:30:18Z</dcterms:created>
  <dcterms:modified xsi:type="dcterms:W3CDTF">2026-09-06T15:39:45Z</dcterms:modified>
  <cp:category/>
  <cp:contentStatus/>
</cp:coreProperties>
</file>